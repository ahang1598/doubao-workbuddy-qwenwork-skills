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d4b52cd7e244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封面" sheetId="1" r:id="R6916fa0e38f8401e"/>
    <x:sheet xmlns:r="http://schemas.openxmlformats.org/officeDocument/2006/relationships" name="数据来源" sheetId="2" r:id="R393e419eead8420c"/>
    <x:sheet xmlns:r="http://schemas.openxmlformats.org/officeDocument/2006/relationships" name="假设依据" sheetId="3" r:id="R3f009c0d3803461f"/>
    <x:sheet xmlns:r="http://schemas.openxmlformats.org/officeDocument/2006/relationships" name="经营驱动" sheetId="4" r:id="Ra4a4a93cb09149c6"/>
    <x:sheet xmlns:r="http://schemas.openxmlformats.org/officeDocument/2006/relationships" name="利润表" sheetId="5" r:id="R94eaf4391e2e43f7"/>
    <x:sheet xmlns:r="http://schemas.openxmlformats.org/officeDocument/2006/relationships" name="资产负债表" sheetId="6" r:id="Refd4c0ade92d4968"/>
    <x:sheet xmlns:r="http://schemas.openxmlformats.org/officeDocument/2006/relationships" name="现金流量表" sheetId="7" r:id="Re1bdbbee8cc54c7a"/>
    <x:sheet xmlns:r="http://schemas.openxmlformats.org/officeDocument/2006/relationships" name="债务与利息" sheetId="8" r:id="Rbdb9aaddf4a14565"/>
    <x:sheet xmlns:r="http://schemas.openxmlformats.org/officeDocument/2006/relationships" name="模型检查" sheetId="9" r:id="Ra527a98da7ff46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;[Red](0.0%);-"/>
    <x:numFmt numFmtId="201" formatCode="#,##0;[Red](#,##0);-"/>
  </x:numFmts>
  <x:fonts count="10">
    <x:font>
      <x:sz val="11"/>
      <x:name val="Carlito"/>
    </x:font>
    <x:font>
      <x:b/>
      <x:sz val="20"/>
      <x:color rgb="FFFFFFFF"/>
      <x:name val="Carlito"/>
    </x:font>
    <x:font>
      <x:b/>
      <x:sz val="11"/>
      <x:name val="Carlito"/>
    </x:font>
    <x:font>
      <x:b/>
      <x:sz val="11"/>
      <x:color rgb="FF008000"/>
      <x:name val="Carlito"/>
    </x:font>
    <x:font>
      <x:sz val="11"/>
      <x:color rgb="FF0000FF"/>
      <x:name val="Carlito"/>
    </x:font>
    <x:font>
      <x:sz val="10"/>
      <x:color rgb="FF000000"/>
      <x:name val="Arial"/>
    </x:font>
    <x:font>
      <x:b/>
      <x:sz val="14"/>
      <x:color rgb="FFFFFFFF"/>
      <x:name val="Arial"/>
    </x:font>
    <x:font>
      <x:b/>
      <x:sz val="10"/>
      <x:color rgb="FF000000"/>
      <x:name val="Arial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0" fontId="0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/>
    <x:xf numFmtId="0" fontId="5" fillId="5" borderId="0" xfId="0" applyNumberFormat="1" applyFont="1" applyFill="1" applyBorder="1"/>
    <x:xf numFmtId="200" fontId="5" fillId="4" borderId="0" xfId="0" applyNumberFormat="1" applyFont="1" applyFill="1" applyBorder="1"/>
    <x:xf numFmtId="200" fontId="5" fillId="5" borderId="0" xfId="0" applyNumberFormat="1" applyFont="1" applyFill="1" applyBorder="1"/>
    <x:xf numFmtId="0" fontId="5" fillId="4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5" fillId="3" borderId="0" xfId="0" applyNumberFormat="1" applyFont="1" applyFill="1" applyBorder="1"/>
    <x:xf numFmtId="0" fontId="7" fillId="3" borderId="0" xfId="0" applyNumberFormat="1" applyFont="1" applyFill="1" applyBorder="1"/>
    <x:xf numFmtId="201" fontId="4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5" fillId="4" borderId="0" xfId="0" applyNumberFormat="1" applyFont="1" applyFill="1" applyBorder="1"/>
    <x:xf numFmtId="201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7" fillId="5" borderId="0" xfId="0" applyNumberFormat="1" applyFont="1" applyFill="1" applyBorder="1"/>
    <x:xf numFmtId="201" fontId="5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461c37d18747e0" /><Relationship Type="http://schemas.openxmlformats.org/officeDocument/2006/relationships/theme" Target="/xl/theme/theme1.xml" Id="Rc171cd83a8f24d16" /><Relationship Type="http://schemas.openxmlformats.org/officeDocument/2006/relationships/sharedStrings" Target="/xl/sharedStrings.xml" Id="Ra0db90d23eb34e94" /><Relationship Type="http://schemas.openxmlformats.org/officeDocument/2006/relationships/worksheet" Target="/xl/worksheets/sheet1.xml" Id="R6916fa0e38f8401e" /><Relationship Type="http://schemas.openxmlformats.org/officeDocument/2006/relationships/worksheet" Target="/xl/worksheets/sheet2.xml" Id="R393e419eead8420c" /><Relationship Type="http://schemas.openxmlformats.org/officeDocument/2006/relationships/worksheet" Target="/xl/worksheets/sheet3.xml" Id="R3f009c0d3803461f" /><Relationship Type="http://schemas.openxmlformats.org/officeDocument/2006/relationships/worksheet" Target="/xl/worksheets/sheet4.xml" Id="Ra4a4a93cb09149c6" /><Relationship Type="http://schemas.openxmlformats.org/officeDocument/2006/relationships/worksheet" Target="/xl/worksheets/sheet5.xml" Id="R94eaf4391e2e43f7" /><Relationship Type="http://schemas.openxmlformats.org/officeDocument/2006/relationships/worksheet" Target="/xl/worksheets/sheet6.xml" Id="Refd4c0ade92d4968" /><Relationship Type="http://schemas.openxmlformats.org/officeDocument/2006/relationships/worksheet" Target="/xl/worksheets/sheet7.xml" Id="Re1bdbbee8cc54c7a" /><Relationship Type="http://schemas.openxmlformats.org/officeDocument/2006/relationships/worksheet" Target="/xl/worksheets/sheet8.xml" Id="Rbdb9aaddf4a14565" /><Relationship Type="http://schemas.openxmlformats.org/officeDocument/2006/relationships/worksheet" Target="/xl/worksheets/sheet9.xml" Id="Ra527a98da7ff46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</x:cols>
  <x:sheetData>
    <x:row r="1">
      <x:c r="A1" s="4" t="str">
        <x:v>三表预测公式模板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6" t="str">
        <x:v>项目</x:v>
      </x:c>
      <x:c r="B4" s="7" t="str">
        <x:v>说明</x:v>
      </x:c>
    </x:row>
    <x:row r="5">
      <x:c r="A5" t="str">
        <x:v>用途</x:v>
      </x:c>
      <x:c r="B5" s="8" t="str">
        <x:v>非金融上市公司年度三表预测示例模板</x:v>
      </x:c>
    </x:row>
    <x:row r="6">
      <x:c r="A6" t="str">
        <x:v>期间</x:v>
      </x:c>
      <x:c r="B6" s="8" t="str">
        <x:v>2024A—2025A历史；2026E—2030E预测</x:v>
      </x:c>
    </x:row>
    <x:row r="7">
      <x:c r="A7" t="str">
        <x:v>单位</x:v>
      </x:c>
      <x:c r="B7" s="8" t="str">
        <x:v>人民币百万元</x:v>
      </x:c>
    </x:row>
    <x:row r="8">
      <x:c r="A8" t="str">
        <x:v>输入</x:v>
      </x:c>
      <x:c r="B8" s="8" t="str">
        <x:v>黄色底、蓝色字体</x:v>
      </x:c>
    </x:row>
    <x:row r="9">
      <x:c r="A9" t="str">
        <x:v>跨表链接</x:v>
      </x:c>
      <x:c r="B9" s="8" t="str">
        <x:v>绿色字体</x:v>
      </x:c>
    </x:row>
    <x:row r="10">
      <x:c r="A10" t="str">
        <x:v>公式</x:v>
      </x:c>
      <x:c r="B10" s="8" t="str">
        <x:v>黑色字体</x:v>
      </x:c>
    </x:row>
    <x:row r="11">
      <x:c r="A11" t="str">
        <x:v>重要提示</x:v>
      </x:c>
      <x:c r="B11" s="8" t="str">
        <x:v>示例数值仅用于验证结构与公式，不得作为真实公司数据</x:v>
      </x:c>
    </x:row>
    <x:row r="13">
      <x:c r="A13" t="str">
        <x:v>模型状态</x:v>
      </x:c>
      <x:c r="B13" s="9" t="str">
        <x:f>'模型检查'!F9</x:f>
        <x:v>PASS</x:v>
      </x:c>
    </x:row>
    <x:row r="14">
      <x:c r="A14" t="str">
        <x:v>资产负债表检查</x:v>
      </x:c>
      <x:c r="B14" s="9" t="str">
        <x:f>'模型检查'!F4</x:f>
        <x:v>PASS</x:v>
      </x:c>
    </x:row>
    <x:row r="15">
      <x:c r="A15" t="str">
        <x:v>现金勾稽检查</x:v>
      </x:c>
      <x:c r="B15" s="9" t="str">
        <x:f>'模型检查'!F5</x:f>
        <x:v>PASS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  <x:col min="8" max="8" width="30" hidden="0" customWidth="1"/>
  </x:cols>
  <x:sheetData>
    <x:row r="1">
      <x:c r="A1" t="str">
        <x:v>数据来源与口径</x:v>
      </x:c>
      <x:c r="H1" s="8"/>
    </x:row>
    <x:row r="2">
      <x:c r="H2" s="8"/>
    </x:row>
    <x:row r="3">
      <x:c r="A3" s="6" t="str">
        <x:v>来源编号</x:v>
      </x:c>
      <x:c r="B3" s="6" t="str">
        <x:v>字段</x:v>
      </x:c>
      <x:c r="C3" s="6" t="str">
        <x:v>数值</x:v>
      </x:c>
      <x:c r="D3" s="6" t="str">
        <x:v>单位</x:v>
      </x:c>
      <x:c r="E3" s="6" t="str">
        <x:v>报告期</x:v>
      </x:c>
      <x:c r="F3" s="6" t="str">
        <x:v>公开日</x:v>
      </x:c>
      <x:c r="G3" s="6" t="str">
        <x:v>来源链接</x:v>
      </x:c>
      <x:c r="H3" s="7" t="str">
        <x:v>位置/口径</x:v>
      </x:c>
    </x:row>
    <x:row r="4">
      <x:c r="A4" t="str">
        <x:v>SRC-001</x:v>
      </x:c>
      <x:c r="B4" t="str">
        <x:v>示例历史财务</x:v>
      </x:c>
      <x:c r="C4" t="str">
        <x:v>结构示例</x:v>
      </x:c>
      <x:c r="D4" t="str">
        <x:v>人民币百万元</x:v>
      </x:c>
      <x:c r="E4" t="str">
        <x:v>2024A</x:v>
      </x:c>
      <x:c r="F4" t="str">
        <x:v>2025-03-31</x:v>
      </x:c>
      <x:c r="G4" t="str">
        <x:v>https://example.com/illustrative-only</x:v>
      </x:c>
      <x:c r="H4" s="8" t="str">
        <x:v>仅用于模板结构测试</x:v>
      </x:c>
    </x:row>
    <x:row r="5">
      <x:c r="A5" t="str">
        <x:v>SRC-002</x:v>
      </x:c>
      <x:c r="B5" t="str">
        <x:v>示例历史财务</x:v>
      </x:c>
      <x:c r="C5" t="str">
        <x:v>结构示例</x:v>
      </x:c>
      <x:c r="D5" t="str">
        <x:v>人民币百万元</x:v>
      </x:c>
      <x:c r="E5" t="str">
        <x:v>2025A</x:v>
      </x:c>
      <x:c r="F5" t="str">
        <x:v>2026-03-31</x:v>
      </x:c>
      <x:c r="G5" t="str">
        <x:v>https://example.com/illustrative-only</x:v>
      </x:c>
      <x:c r="H5" s="8" t="str">
        <x:v>仅用于模板结构测试</x:v>
      </x:c>
    </x:row>
    <x:row r="6">
      <x:c r="A6" t="str">
        <x:v>ASM-001</x:v>
      </x:c>
      <x:c r="B6" t="str">
        <x:v>预测假设</x:v>
      </x:c>
      <x:c r="C6" t="str">
        <x:v>结构示例</x:v>
      </x:c>
      <x:c r="D6" t="str">
        <x:v>多种</x:v>
      </x:c>
      <x:c r="E6" t="str">
        <x:v>2026E-2030E</x:v>
      </x:c>
      <x:c r="F6" t="str">
        <x:v>2026-03-31</x:v>
      </x:c>
      <x:c r="G6" t="str">
        <x:v>内部假设</x:v>
      </x:c>
      <x:c r="H6" s="8" t="str">
        <x:v>必须由正式任务替换</x:v>
      </x:c>
    </x:row>
    <x:row r="7">
      <x:c r="H7" s="8"/>
    </x:row>
    <x:row r="8">
      <x:c r="H8" s="8"/>
    </x:row>
    <x:row r="9">
      <x:c r="H9" s="8"/>
    </x:row>
    <x:row r="10">
      <x:c r="H10" s="8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8" hidden="0" customWidth="1"/>
    <x:col min="8" max="8" width="28" hidden="0" customWidth="1"/>
  </x:cols>
  <x:sheetData>
    <x:row r="1">
      <x:c r="A1" t="str">
        <x:v>预测假设与证据链</x:v>
      </x:c>
      <x:c r="G1" s="8"/>
      <x:c r="H1" s="8"/>
    </x:row>
    <x:row r="2">
      <x:c r="G2" s="8"/>
      <x:c r="H2" s="8"/>
    </x:row>
    <x:row r="3">
      <x:c r="A3" s="6" t="str">
        <x:v>假设编号</x:v>
      </x:c>
      <x:c r="B3" s="6" t="str">
        <x:v>驱动</x:v>
      </x:c>
      <x:c r="C3" s="6" t="str">
        <x:v>历史数据</x:v>
      </x:c>
      <x:c r="D3" s="6" t="str">
        <x:v>业务逻辑</x:v>
      </x:c>
      <x:c r="E3" s="6" t="str">
        <x:v>模型参数</x:v>
      </x:c>
      <x:c r="F3" s="6" t="str">
        <x:v>来源编号</x:v>
      </x:c>
      <x:c r="G3" s="7" t="str">
        <x:v>失效条件</x:v>
      </x:c>
      <x:c r="H3" s="7" t="str">
        <x:v>负责人</x:v>
      </x:c>
    </x:row>
    <x:row r="4">
      <x:c r="A4" t="str">
        <x:v>ASM-REV</x:v>
      </x:c>
      <x:c r="B4" t="str">
        <x:v>收入增长</x:v>
      </x:c>
      <x:c r="C4" t="str">
        <x:v>参考历史收入趋势</x:v>
      </x:c>
      <x:c r="D4" t="str">
        <x:v>量价与产能共同驱动</x:v>
      </x:c>
      <x:c r="E4" t="str">
        <x:v>见经营驱动</x:v>
      </x:c>
      <x:c r="F4" t="str">
        <x:v>SRC-001/SRC-002</x:v>
      </x:c>
      <x:c r="G4" s="8" t="str">
        <x:v>销量或价格显著偏离</x:v>
      </x:c>
      <x:c r="H4" s="8" t="str">
        <x:v>分析师</x:v>
      </x:c>
    </x:row>
    <x:row r="5">
      <x:c r="A5" t="str">
        <x:v>ASM-MAR</x:v>
      </x:c>
      <x:c r="B5" t="str">
        <x:v>毛利率</x:v>
      </x:c>
      <x:c r="C5" t="str">
        <x:v>参考历史毛利率</x:v>
      </x:c>
      <x:c r="D5" t="str">
        <x:v>产品结构与成本效率</x:v>
      </x:c>
      <x:c r="E5" t="str">
        <x:v>见经营驱动</x:v>
      </x:c>
      <x:c r="F5" t="str">
        <x:v>SRC-001/SRC-002</x:v>
      </x:c>
      <x:c r="G5" s="8" t="str">
        <x:v>原材料或竞争格局变化</x:v>
      </x:c>
      <x:c r="H5" s="8" t="str">
        <x:v>分析师</x:v>
      </x:c>
    </x:row>
    <x:row r="6">
      <x:c r="A6" t="str">
        <x:v>ASM-WC</x:v>
      </x:c>
      <x:c r="B6" t="str">
        <x:v>营运资本</x:v>
      </x:c>
      <x:c r="C6" t="str">
        <x:v>参考周转天数</x:v>
      </x:c>
      <x:c r="D6" t="str">
        <x:v>收入和成本规模驱动</x:v>
      </x:c>
      <x:c r="E6" t="str">
        <x:v>见经营驱动</x:v>
      </x:c>
      <x:c r="F6" t="str">
        <x:v>SRC-001/SRC-002</x:v>
      </x:c>
      <x:c r="G6" s="8" t="str">
        <x:v>信用政策或供应链变化</x:v>
      </x:c>
      <x:c r="H6" s="8" t="str">
        <x:v>分析师</x:v>
      </x:c>
    </x:row>
    <x:row r="7">
      <x:c r="A7" t="str">
        <x:v>ASM-CAPEX</x:v>
      </x:c>
      <x:c r="B7" t="str">
        <x:v>资本开支</x:v>
      </x:c>
      <x:c r="C7" t="str">
        <x:v>参考历史资本强度</x:v>
      </x:c>
      <x:c r="D7" t="str">
        <x:v>支持产能与维护需求</x:v>
      </x:c>
      <x:c r="E7" t="str">
        <x:v>见经营驱动</x:v>
      </x:c>
      <x:c r="F7" t="str">
        <x:v>SRC-001/SRC-002</x:v>
      </x:c>
      <x:c r="G7" s="8" t="str">
        <x:v>建设计划变化</x:v>
      </x:c>
      <x:c r="H7" s="8" t="str">
        <x:v>分析师</x:v>
      </x:c>
    </x:row>
    <x:row r="8">
      <x:c r="G8" s="8"/>
      <x:c r="H8" s="8"/>
    </x:row>
    <x:row r="9">
      <x:c r="G9" s="8"/>
      <x:c r="H9" s="8"/>
    </x:row>
    <x:row r="10">
      <x:c r="G10" s="8"/>
      <x:c r="H10" s="8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2" t="str">
        <x:v>经营与财务预测驱动</x:v>
      </x:c>
      <x:c r="B1" s="22"/>
      <x:c r="C1" s="22"/>
      <x:c r="D1" s="22"/>
      <x:c r="E1" s="22"/>
      <x:c r="F1" s="22"/>
      <x:c r="G1" s="22"/>
      <x:c r="H1" s="22"/>
    </x:row>
    <x:row r="2">
      <x:c r="A2" s="16"/>
      <x:c r="B2" s="16"/>
      <x:c r="C2" s="16"/>
      <x:c r="D2" s="16"/>
      <x:c r="E2" s="16"/>
      <x:c r="F2" s="16"/>
      <x:c r="G2" s="16"/>
      <x:c r="H2" s="16"/>
    </x:row>
    <x:row r="3">
      <x:c r="A3" s="24" t="str">
        <x:v>驱动（单位）</x:v>
      </x:c>
      <x:c r="B3" s="24" t="str">
        <x:v>2024A</x:v>
      </x:c>
      <x:c r="C3" s="24" t="str">
        <x:v>2025A</x:v>
      </x:c>
      <x:c r="D3" s="24" t="str">
        <x:v>2026E</x:v>
      </x:c>
      <x:c r="E3" s="24" t="str">
        <x:v>2027E</x:v>
      </x:c>
      <x:c r="F3" s="24" t="str">
        <x:v>2028E</x:v>
      </x:c>
      <x:c r="G3" s="24" t="str">
        <x:v>2029E</x:v>
      </x:c>
      <x:c r="H3" s="24" t="str">
        <x:v>2030E</x:v>
      </x:c>
    </x:row>
    <x:row r="4">
      <x:c r="A4" s="16" t="str">
        <x:v>收入增长率</x:v>
      </x:c>
      <x:c r="B4" s="18"/>
      <x:c r="C4" s="18" t="n">
        <x:v>0.12</x:v>
      </x:c>
      <x:c r="D4" s="19" t="n">
        <x:v>0.1</x:v>
      </x:c>
      <x:c r="E4" s="19" t="n">
        <x:v>0.09</x:v>
      </x:c>
      <x:c r="F4" s="19" t="n">
        <x:v>0.08</x:v>
      </x:c>
      <x:c r="G4" s="19" t="n">
        <x:v>0.07</x:v>
      </x:c>
      <x:c r="H4" s="19" t="n">
        <x:v>0.06</x:v>
      </x:c>
    </x:row>
    <x:row r="5">
      <x:c r="A5" s="16" t="str">
        <x:v>毛利率</x:v>
      </x:c>
      <x:c r="B5" s="18" t="n">
        <x:v>0.38</x:v>
      </x:c>
      <x:c r="C5" s="18" t="n">
        <x:v>0.39</x:v>
      </x:c>
      <x:c r="D5" s="19" t="n">
        <x:v>0.4</x:v>
      </x:c>
      <x:c r="E5" s="19" t="n">
        <x:v>0.405</x:v>
      </x:c>
      <x:c r="F5" s="19" t="n">
        <x:v>0.41</x:v>
      </x:c>
      <x:c r="G5" s="19" t="n">
        <x:v>0.415</x:v>
      </x:c>
      <x:c r="H5" s="19" t="n">
        <x:v>0.42</x:v>
      </x:c>
    </x:row>
    <x:row r="6">
      <x:c r="A6" s="16" t="str">
        <x:v>销售及管理费用率</x:v>
      </x:c>
      <x:c r="B6" s="18" t="n">
        <x:v>0.2</x:v>
      </x:c>
      <x:c r="C6" s="18" t="n">
        <x:v>0.2</x:v>
      </x:c>
      <x:c r="D6" s="19" t="n">
        <x:v>0.195</x:v>
      </x:c>
      <x:c r="E6" s="19" t="n">
        <x:v>0.19</x:v>
      </x:c>
      <x:c r="F6" s="19" t="n">
        <x:v>0.185</x:v>
      </x:c>
      <x:c r="G6" s="19" t="n">
        <x:v>0.18</x:v>
      </x:c>
      <x:c r="H6" s="19" t="n">
        <x:v>0.18</x:v>
      </x:c>
    </x:row>
    <x:row r="7">
      <x:c r="A7" s="16" t="str">
        <x:v>所得税率</x:v>
      </x:c>
      <x:c r="B7" s="18" t="n">
        <x:v>0.25</x:v>
      </x:c>
      <x:c r="C7" s="18" t="n">
        <x:v>0.25</x:v>
      </x:c>
      <x:c r="D7" s="19" t="n">
        <x:v>0.25</x:v>
      </x:c>
      <x:c r="E7" s="19" t="n">
        <x:v>0.25</x:v>
      </x:c>
      <x:c r="F7" s="19" t="n">
        <x:v>0.25</x:v>
      </x:c>
      <x:c r="G7" s="19" t="n">
        <x:v>0.25</x:v>
      </x:c>
      <x:c r="H7" s="19" t="n">
        <x:v>0.25</x:v>
      </x:c>
    </x:row>
    <x:row r="8">
      <x:c r="A8" s="16" t="str">
        <x:v>应收账款天数</x:v>
      </x:c>
      <x:c r="B8" s="20" t="n">
        <x:v>30</x:v>
      </x:c>
      <x:c r="C8" s="20" t="n">
        <x:v>30</x:v>
      </x:c>
      <x:c r="D8" s="17" t="n">
        <x:v>30</x:v>
      </x:c>
      <x:c r="E8" s="17" t="n">
        <x:v>29</x:v>
      </x:c>
      <x:c r="F8" s="17" t="n">
        <x:v>29</x:v>
      </x:c>
      <x:c r="G8" s="17" t="n">
        <x:v>28</x:v>
      </x:c>
      <x:c r="H8" s="17" t="n">
        <x:v>28</x:v>
      </x:c>
    </x:row>
    <x:row r="9">
      <x:c r="A9" s="16" t="str">
        <x:v>存货天数</x:v>
      </x:c>
      <x:c r="B9" s="20" t="n">
        <x:v>45</x:v>
      </x:c>
      <x:c r="C9" s="20" t="n">
        <x:v>45</x:v>
      </x:c>
      <x:c r="D9" s="17" t="n">
        <x:v>44</x:v>
      </x:c>
      <x:c r="E9" s="17" t="n">
        <x:v>43</x:v>
      </x:c>
      <x:c r="F9" s="17" t="n">
        <x:v>42</x:v>
      </x:c>
      <x:c r="G9" s="17" t="n">
        <x:v>41</x:v>
      </x:c>
      <x:c r="H9" s="17" t="n">
        <x:v>40</x:v>
      </x:c>
    </x:row>
    <x:row r="10">
      <x:c r="A10" s="16" t="str">
        <x:v>应付账款天数</x:v>
      </x:c>
      <x:c r="B10" s="20" t="n">
        <x:v>35</x:v>
      </x:c>
      <x:c r="C10" s="20" t="n">
        <x:v>35</x:v>
      </x:c>
      <x:c r="D10" s="17" t="n">
        <x:v>35</x:v>
      </x:c>
      <x:c r="E10" s="17" t="n">
        <x:v>36</x:v>
      </x:c>
      <x:c r="F10" s="17" t="n">
        <x:v>36</x:v>
      </x:c>
      <x:c r="G10" s="17" t="n">
        <x:v>37</x:v>
      </x:c>
      <x:c r="H10" s="17" t="n">
        <x:v>37</x:v>
      </x:c>
    </x:row>
    <x:row r="11">
      <x:c r="A11" s="16" t="str">
        <x:v>资本开支/收入</x:v>
      </x:c>
      <x:c r="B11" s="18" t="n">
        <x:v>0.06</x:v>
      </x:c>
      <x:c r="C11" s="18" t="n">
        <x:v>0.06</x:v>
      </x:c>
      <x:c r="D11" s="19" t="n">
        <x:v>0.06</x:v>
      </x:c>
      <x:c r="E11" s="19" t="n">
        <x:v>0.058</x:v>
      </x:c>
      <x:c r="F11" s="19" t="n">
        <x:v>0.056</x:v>
      </x:c>
      <x:c r="G11" s="19" t="n">
        <x:v>0.054</x:v>
      </x:c>
      <x:c r="H11" s="19" t="n">
        <x:v>0.052</x:v>
      </x:c>
    </x:row>
    <x:row r="12">
      <x:c r="A12" s="16" t="str">
        <x:v>折旧率（期初PPE）</x:v>
      </x:c>
      <x:c r="B12" s="18" t="n">
        <x:v>0.1</x:v>
      </x:c>
      <x:c r="C12" s="18" t="n">
        <x:v>0.1</x:v>
      </x:c>
      <x:c r="D12" s="19" t="n">
        <x:v>0.1</x:v>
      </x:c>
      <x:c r="E12" s="19" t="n">
        <x:v>0.1</x:v>
      </x:c>
      <x:c r="F12" s="19" t="n">
        <x:v>0.1</x:v>
      </x:c>
      <x:c r="G12" s="19" t="n">
        <x:v>0.1</x:v>
      </x:c>
      <x:c r="H12" s="19" t="n">
        <x:v>0.1</x:v>
      </x:c>
    </x:row>
    <x:row r="13">
      <x:c r="A13" s="16" t="str">
        <x:v>债务利率</x:v>
      </x:c>
      <x:c r="B13" s="18" t="n">
        <x:v>0.05</x:v>
      </x:c>
      <x:c r="C13" s="18" t="n">
        <x:v>0.05</x:v>
      </x:c>
      <x:c r="D13" s="19" t="n">
        <x:v>0.05</x:v>
      </x:c>
      <x:c r="E13" s="19" t="n">
        <x:v>0.05</x:v>
      </x:c>
      <x:c r="F13" s="19" t="n">
        <x:v>0.05</x:v>
      </x:c>
      <x:c r="G13" s="19" t="n">
        <x:v>0.05</x:v>
      </x:c>
      <x:c r="H13" s="19" t="n">
        <x:v>0.05</x:v>
      </x:c>
    </x:row>
    <x:row r="14">
      <x:c r="A14" s="16" t="str">
        <x:v>年度偿债额</x:v>
      </x:c>
      <x:c r="B14" s="20" t="n">
        <x:v>20</x:v>
      </x:c>
      <x:c r="C14" s="20" t="n">
        <x:v>20</x:v>
      </x:c>
      <x:c r="D14" s="17" t="n">
        <x:v>20</x:v>
      </x:c>
      <x:c r="E14" s="17" t="n">
        <x:v>20</x:v>
      </x:c>
      <x:c r="F14" s="17" t="n">
        <x:v>20</x:v>
      </x:c>
      <x:c r="G14" s="17" t="n">
        <x:v>20</x:v>
      </x:c>
      <x:c r="H14" s="17" t="n">
        <x:v>20</x:v>
      </x:c>
    </x:row>
    <x:row r="15">
      <x:c r="A15" s="16" t="str">
        <x:v>股利支付率</x:v>
      </x:c>
      <x:c r="B15" s="18" t="n">
        <x:v>0.2</x:v>
      </x:c>
      <x:c r="C15" s="18" t="n">
        <x:v>0.2</x:v>
      </x:c>
      <x:c r="D15" s="19" t="n">
        <x:v>0.2</x:v>
      </x:c>
      <x:c r="E15" s="19" t="n">
        <x:v>0.2</x:v>
      </x:c>
      <x:c r="F15" s="19" t="n">
        <x:v>0.2</x:v>
      </x:c>
      <x:c r="G15" s="19" t="n">
        <x:v>0.2</x:v>
      </x:c>
      <x:c r="H15" s="19" t="n">
        <x:v>0.2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2" t="str">
        <x:v>利润表</x:v>
      </x:c>
      <x:c r="B1" s="22"/>
      <x:c r="C1" s="22"/>
      <x:c r="D1" s="22"/>
      <x:c r="E1" s="22"/>
      <x:c r="F1" s="22"/>
      <x:c r="G1" s="22"/>
      <x:c r="H1" s="22"/>
    </x:row>
    <x:row r="2">
      <x:c r="A2" s="16"/>
      <x:c r="B2" s="16"/>
      <x:c r="C2" s="16"/>
      <x:c r="D2" s="16"/>
      <x:c r="E2" s="16"/>
      <x:c r="F2" s="16"/>
      <x:c r="G2" s="16"/>
      <x:c r="H2" s="16"/>
    </x:row>
    <x:row r="3">
      <x:c r="A3" s="24" t="str">
        <x:v>人民币百万元</x:v>
      </x:c>
      <x:c r="B3" s="24" t="str">
        <x:v>2024A</x:v>
      </x:c>
      <x:c r="C3" s="24" t="str">
        <x:v>2025A</x:v>
      </x:c>
      <x:c r="D3" s="33" t="str">
        <x:v>2026E</x:v>
      </x:c>
      <x:c r="E3" s="33" t="str">
        <x:v>2027E</x:v>
      </x:c>
      <x:c r="F3" s="33" t="str">
        <x:v>2028E</x:v>
      </x:c>
      <x:c r="G3" s="33" t="str">
        <x:v>2029E</x:v>
      </x:c>
      <x:c r="H3" s="33" t="str">
        <x:v>2030E</x:v>
      </x:c>
    </x:row>
    <x:row r="4">
      <x:c r="A4" s="16" t="str">
        <x:v>营业收入</x:v>
      </x:c>
      <x:c r="B4" s="28" t="n">
        <x:v>1000</x:v>
      </x:c>
      <x:c r="C4" s="28" t="n">
        <x:v>1120</x:v>
      </x:c>
      <x:c r="D4" s="34" t="n">
        <x:f>C4*(1+'经营驱动'!D4)</x:f>
        <x:v>1232</x:v>
      </x:c>
      <x:c r="E4" s="34" t="n">
        <x:f>D4*(1+'经营驱动'!E4)</x:f>
        <x:v>1342.88</x:v>
      </x:c>
      <x:c r="F4" s="34" t="n">
        <x:f>E4*(1+'经营驱动'!F4)</x:f>
        <x:v>1450.3104000000003</x:v>
      </x:c>
      <x:c r="G4" s="34" t="n">
        <x:f>F4*(1+'经营驱动'!G4)</x:f>
        <x:v>1551.8321280000005</x:v>
      </x:c>
      <x:c r="H4" s="34" t="n">
        <x:f>G4*(1+'经营驱动'!H4)</x:f>
        <x:v>1644.9420556800005</x:v>
      </x:c>
    </x:row>
    <x:row r="5">
      <x:c r="A5" s="16" t="str">
        <x:v>收入增长率</x:v>
      </x:c>
      <x:c r="B5" s="30"/>
      <x:c r="C5" s="30"/>
      <x:c r="D5" s="19" t="n">
        <x:f>D4/C4-1</x:f>
        <x:v>0.10000000000000009</x:v>
      </x:c>
      <x:c r="E5" s="19" t="n">
        <x:f>E4/D4-1</x:f>
        <x:v>0.09000000000000008</x:v>
      </x:c>
      <x:c r="F5" s="19" t="n">
        <x:f>F4/E4-1</x:f>
        <x:v>0.08000000000000007</x:v>
      </x:c>
      <x:c r="G5" s="19" t="n">
        <x:f>G4/F4-1</x:f>
        <x:v>0.07000000000000006</x:v>
      </x:c>
      <x:c r="H5" s="19" t="n">
        <x:f>H4/G4-1</x:f>
        <x:v>0.06000000000000005</x:v>
      </x:c>
    </x:row>
    <x:row r="6">
      <x:c r="A6" s="16" t="str">
        <x:v>营业成本</x:v>
      </x:c>
      <x:c r="B6" s="29" t="n">
        <x:f>-B4*(1-'经营驱动'!B5)</x:f>
        <x:v>-620</x:v>
      </x:c>
      <x:c r="C6" s="29" t="n">
        <x:f>-C4*(1-'经营驱动'!C5)</x:f>
        <x:v>-683.1999999999999</x:v>
      </x:c>
      <x:c r="D6" s="34" t="n">
        <x:f>-D4*(1-'经营驱动'!D5)</x:f>
        <x:v>-739.1999999999999</x:v>
      </x:c>
      <x:c r="E6" s="34" t="n">
        <x:f>-E4*(1-'经营驱动'!E5)</x:f>
        <x:v>-799.0136</x:v>
      </x:c>
      <x:c r="F6" s="34" t="n">
        <x:f>-F4*(1-'经营驱动'!F5)</x:f>
        <x:v>-855.6831360000003</x:v>
      </x:c>
      <x:c r="G6" s="34" t="n">
        <x:f>-G4*(1-'经营驱动'!G5)</x:f>
        <x:v>-907.8217948800002</x:v>
      </x:c>
      <x:c r="H6" s="34" t="n">
        <x:f>-H4*(1-'经营驱动'!H5)</x:f>
        <x:v>-954.0663922944004</x:v>
      </x:c>
    </x:row>
    <x:row r="7">
      <x:c r="A7" s="16" t="str">
        <x:v>毛利润</x:v>
      </x:c>
      <x:c r="B7" s="29" t="n">
        <x:f>SUM(B4,B6)</x:f>
        <x:v>380</x:v>
      </x:c>
      <x:c r="C7" s="29" t="n">
        <x:f>SUM(C4,C6)</x:f>
        <x:v>436.80000000000007</x:v>
      </x:c>
      <x:c r="D7" s="34" t="n">
        <x:f>SUM(D4,D6)</x:f>
        <x:v>492.80000000000007</x:v>
      </x:c>
      <x:c r="E7" s="34" t="n">
        <x:f>SUM(E4,E6)</x:f>
        <x:v>543.8664000000001</x:v>
      </x:c>
      <x:c r="F7" s="34" t="n">
        <x:f>SUM(F4,F6)</x:f>
        <x:v>594.627264</x:v>
      </x:c>
      <x:c r="G7" s="34" t="n">
        <x:f>SUM(G4,G6)</x:f>
        <x:v>644.0103331200003</x:v>
      </x:c>
      <x:c r="H7" s="34" t="n">
        <x:f>SUM(H4,H6)</x:f>
        <x:v>690.8756633856001</x:v>
      </x:c>
    </x:row>
    <x:row r="8">
      <x:c r="A8" s="16" t="str">
        <x:v>毛利率</x:v>
      </x:c>
      <x:c r="B8" s="30" t="n">
        <x:f>B7/B4</x:f>
        <x:v>0.38</x:v>
      </x:c>
      <x:c r="C8" s="30" t="n">
        <x:f>C7/C4</x:f>
        <x:v>0.39000000000000007</x:v>
      </x:c>
      <x:c r="D8" s="19" t="n">
        <x:f>D7/D4</x:f>
        <x:v>0.4000000000000001</x:v>
      </x:c>
      <x:c r="E8" s="19" t="n">
        <x:f>E7/E4</x:f>
        <x:v>0.405</x:v>
      </x:c>
      <x:c r="F8" s="19" t="n">
        <x:f>F7/F4</x:f>
        <x:v>0.4099999999999999</x:v>
      </x:c>
      <x:c r="G8" s="19" t="n">
        <x:f>G7/G4</x:f>
        <x:v>0.41500000000000004</x:v>
      </x:c>
      <x:c r="H8" s="19" t="n">
        <x:f>H7/H4</x:f>
        <x:v>0.41999999999999993</x:v>
      </x:c>
    </x:row>
    <x:row r="9">
      <x:c r="A9" s="16" t="str">
        <x:v>销售及管理费用</x:v>
      </x:c>
      <x:c r="B9" s="29" t="n">
        <x:f>-B4*'经营驱动'!B6</x:f>
        <x:v>-200</x:v>
      </x:c>
      <x:c r="C9" s="29" t="n">
        <x:f>-C4*'经营驱动'!C6</x:f>
        <x:v>-224</x:v>
      </x:c>
      <x:c r="D9" s="34" t="n">
        <x:f>-D4*'经营驱动'!D6</x:f>
        <x:v>-240.24</x:v>
      </x:c>
      <x:c r="E9" s="34" t="n">
        <x:f>-E4*'经营驱动'!E6</x:f>
        <x:v>-255.14720000000003</x:v>
      </x:c>
      <x:c r="F9" s="34" t="n">
        <x:f>-F4*'经营驱动'!F6</x:f>
        <x:v>-268.307424</x:v>
      </x:c>
      <x:c r="G9" s="34" t="n">
        <x:f>-G4*'经营驱动'!G6</x:f>
        <x:v>-279.32978304000005</x:v>
      </x:c>
      <x:c r="H9" s="34" t="n">
        <x:f>-H4*'经营驱动'!H6</x:f>
        <x:v>-296.0895700224001</x:v>
      </x:c>
    </x:row>
    <x:row r="10">
      <x:c r="A10" s="16" t="str">
        <x:v>EBITDA</x:v>
      </x:c>
      <x:c r="B10" s="29" t="n">
        <x:f>SUM(B7,B9)</x:f>
        <x:v>180</x:v>
      </x:c>
      <x:c r="C10" s="29" t="n">
        <x:f>SUM(C7,C9)</x:f>
        <x:v>212.80000000000007</x:v>
      </x:c>
      <x:c r="D10" s="34" t="n">
        <x:f>SUM(D7,D9)</x:f>
        <x:v>252.56000000000006</x:v>
      </x:c>
      <x:c r="E10" s="34" t="n">
        <x:f>SUM(E7,E9)</x:f>
        <x:v>288.7192000000001</x:v>
      </x:c>
      <x:c r="F10" s="34" t="n">
        <x:f>SUM(F7,F9)</x:f>
        <x:v>326.31983999999994</x:v>
      </x:c>
      <x:c r="G10" s="34" t="n">
        <x:f>SUM(G7,G9)</x:f>
        <x:v>364.6805500800002</x:v>
      </x:c>
      <x:c r="H10" s="34" t="n">
        <x:f>SUM(H7,H9)</x:f>
        <x:v>394.7860933632</x:v>
      </x:c>
    </x:row>
    <x:row r="11">
      <x:c r="A11" s="16" t="str">
        <x:v>折旧与摊销</x:v>
      </x:c>
      <x:c r="B11" s="29" t="n">
        <x:f>-'资产负债表'!B7*'经营驱动'!B12</x:f>
        <x:v>-30</x:v>
      </x:c>
      <x:c r="C11" s="29" t="n">
        <x:f>-'资产负债表'!B7*'经营驱动'!C12</x:f>
        <x:v>-30</x:v>
      </x:c>
      <x:c r="D11" s="34" t="n">
        <x:f>-'资产负债表'!C7*'经营驱动'!D12</x:f>
        <x:v>-33</x:v>
      </x:c>
      <x:c r="E11" s="34" t="n">
        <x:f>-'资产负债表'!D7*'经营驱动'!E12</x:f>
        <x:v>-37.092000000000006</x:v>
      </x:c>
      <x:c r="F11" s="34" t="n">
        <x:f>-'资产负债表'!E7*'经营驱动'!F12</x:f>
        <x:v>-41.171504000000006</x:v>
      </x:c>
      <x:c r="G11" s="34" t="n">
        <x:f>-'资产负债表'!F7*'经营驱动'!G12</x:f>
        <x:v>-45.176091840000005</x:v>
      </x:c>
      <x:c r="H11" s="34" t="n">
        <x:f>-'资产负债表'!G7*'经营驱动'!H12</x:f>
        <x:v>-49.03837614720001</x:v>
      </x:c>
    </x:row>
    <x:row r="12">
      <x:c r="A12" s="16" t="str">
        <x:v>息税前利润（EBIT）</x:v>
      </x:c>
      <x:c r="B12" s="29" t="n">
        <x:f>SUM(B10,B11)</x:f>
        <x:v>150</x:v>
      </x:c>
      <x:c r="C12" s="29" t="n">
        <x:f>SUM(C10,C11)</x:f>
        <x:v>182.80000000000007</x:v>
      </x:c>
      <x:c r="D12" s="34" t="n">
        <x:f>SUM(D10,D11)</x:f>
        <x:v>219.56000000000006</x:v>
      </x:c>
      <x:c r="E12" s="34" t="n">
        <x:f>SUM(E10,E11)</x:f>
        <x:v>251.6272000000001</x:v>
      </x:c>
      <x:c r="F12" s="34" t="n">
        <x:f>SUM(F10,F11)</x:f>
        <x:v>285.1483359999999</x:v>
      </x:c>
      <x:c r="G12" s="34" t="n">
        <x:f>SUM(G10,G11)</x:f>
        <x:v>319.5044582400002</x:v>
      </x:c>
      <x:c r="H12" s="34" t="n">
        <x:f>SUM(H10,H11)</x:f>
        <x:v>345.74771721599996</x:v>
      </x:c>
    </x:row>
    <x:row r="13">
      <x:c r="A13" s="16" t="str">
        <x:v>利息费用</x:v>
      </x:c>
      <x:c r="B13" s="29" t="n">
        <x:f>-'债务与利息'!B7</x:f>
        <x:v>-12.5</x:v>
      </x:c>
      <x:c r="C13" s="29" t="n">
        <x:f>-'债务与利息'!C7</x:f>
        <x:v>-12</x:v>
      </x:c>
      <x:c r="D13" s="34" t="n">
        <x:f>-'债务与利息'!D7</x:f>
        <x:v>-11</x:v>
      </x:c>
      <x:c r="E13" s="34" t="n">
        <x:f>-'债务与利息'!E7</x:f>
        <x:v>-10</x:v>
      </x:c>
      <x:c r="F13" s="34" t="n">
        <x:f>-'债务与利息'!F7</x:f>
        <x:v>-9</x:v>
      </x:c>
      <x:c r="G13" s="34" t="n">
        <x:f>-'债务与利息'!G7</x:f>
        <x:v>-8</x:v>
      </x:c>
      <x:c r="H13" s="34" t="n">
        <x:f>-'债务与利息'!H7</x:f>
        <x:v>-7</x:v>
      </x:c>
    </x:row>
    <x:row r="14">
      <x:c r="A14" s="16" t="str">
        <x:v>税前利润</x:v>
      </x:c>
      <x:c r="B14" s="29" t="n">
        <x:f>SUM(B12,B13)</x:f>
        <x:v>137.5</x:v>
      </x:c>
      <x:c r="C14" s="29" t="n">
        <x:f>SUM(C12,C13)</x:f>
        <x:v>170.80000000000007</x:v>
      </x:c>
      <x:c r="D14" s="34" t="n">
        <x:f>SUM(D12,D13)</x:f>
        <x:v>208.56000000000006</x:v>
      </x:c>
      <x:c r="E14" s="34" t="n">
        <x:f>SUM(E12,E13)</x:f>
        <x:v>241.6272000000001</x:v>
      </x:c>
      <x:c r="F14" s="34" t="n">
        <x:f>SUM(F12,F13)</x:f>
        <x:v>276.1483359999999</x:v>
      </x:c>
      <x:c r="G14" s="34" t="n">
        <x:f>SUM(G12,G13)</x:f>
        <x:v>311.5044582400002</x:v>
      </x:c>
      <x:c r="H14" s="34" t="n">
        <x:f>SUM(H12,H13)</x:f>
        <x:v>338.74771721599996</x:v>
      </x:c>
    </x:row>
    <x:row r="15">
      <x:c r="A15" s="16" t="str">
        <x:v>所得税</x:v>
      </x:c>
      <x:c r="B15" s="29" t="n">
        <x:f>-MAX(0,B14*'经营驱动'!B7)</x:f>
        <x:v>-34.375</x:v>
      </x:c>
      <x:c r="C15" s="29" t="n">
        <x:f>-MAX(0,C14*'经营驱动'!C7)</x:f>
        <x:v>-42.70000000000002</x:v>
      </x:c>
      <x:c r="D15" s="34" t="n">
        <x:f>-MAX(0,D14*'经营驱动'!D7)</x:f>
        <x:v>-52.140000000000015</x:v>
      </x:c>
      <x:c r="E15" s="34" t="n">
        <x:f>-MAX(0,E14*'经营驱动'!E7)</x:f>
        <x:v>-60.406800000000025</x:v>
      </x:c>
      <x:c r="F15" s="34" t="n">
        <x:f>-MAX(0,F14*'经营驱动'!F7)</x:f>
        <x:v>-69.03708399999998</x:v>
      </x:c>
      <x:c r="G15" s="34" t="n">
        <x:f>-MAX(0,G14*'经营驱动'!G7)</x:f>
        <x:v>-77.87611456000005</x:v>
      </x:c>
      <x:c r="H15" s="34" t="n">
        <x:f>-MAX(0,H14*'经营驱动'!H7)</x:f>
        <x:v>-84.68692930399999</x:v>
      </x:c>
    </x:row>
    <x:row r="16">
      <x:c r="A16" s="16" t="str">
        <x:v>净利润</x:v>
      </x:c>
      <x:c r="B16" s="29" t="n">
        <x:f>SUM(B14,B15)</x:f>
        <x:v>103.125</x:v>
      </x:c>
      <x:c r="C16" s="29" t="n">
        <x:f>SUM(C14,C15)</x:f>
        <x:v>128.10000000000005</x:v>
      </x:c>
      <x:c r="D16" s="34" t="n">
        <x:f>SUM(D14,D15)</x:f>
        <x:v>156.42000000000004</x:v>
      </x:c>
      <x:c r="E16" s="34" t="n">
        <x:f>SUM(E14,E15)</x:f>
        <x:v>181.22040000000007</x:v>
      </x:c>
      <x:c r="F16" s="34" t="n">
        <x:f>SUM(F14,F15)</x:f>
        <x:v>207.11125199999992</x:v>
      </x:c>
      <x:c r="G16" s="34" t="n">
        <x:f>SUM(G14,G15)</x:f>
        <x:v>233.62834368000014</x:v>
      </x:c>
      <x:c r="H16" s="34" t="n">
        <x:f>SUM(H14,H15)</x:f>
        <x:v>254.06078791199997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2" t="str">
        <x:v>资产负债表</x:v>
      </x:c>
      <x:c r="B1" s="22"/>
      <x:c r="C1" s="22"/>
      <x:c r="D1" s="22"/>
      <x:c r="E1" s="22"/>
      <x:c r="F1" s="22"/>
      <x:c r="G1" s="22"/>
      <x:c r="H1" s="22"/>
    </x:row>
    <x:row r="2">
      <x:c r="A2" s="16"/>
      <x:c r="B2" s="16"/>
      <x:c r="C2" s="16"/>
      <x:c r="D2" s="16"/>
      <x:c r="E2" s="16"/>
      <x:c r="F2" s="16"/>
      <x:c r="G2" s="16"/>
      <x:c r="H2" s="16"/>
    </x:row>
    <x:row r="3">
      <x:c r="A3" s="24" t="str">
        <x:v>人民币百万元</x:v>
      </x:c>
      <x:c r="B3" s="24" t="str">
        <x:v>2024A</x:v>
      </x:c>
      <x:c r="C3" s="24" t="str">
        <x:v>2025A</x:v>
      </x:c>
      <x:c r="D3" s="33" t="str">
        <x:v>2026E</x:v>
      </x:c>
      <x:c r="E3" s="33" t="str">
        <x:v>2027E</x:v>
      </x:c>
      <x:c r="F3" s="33" t="str">
        <x:v>2028E</x:v>
      </x:c>
      <x:c r="G3" s="33" t="str">
        <x:v>2029E</x:v>
      </x:c>
      <x:c r="H3" s="33" t="str">
        <x:v>2030E</x:v>
      </x:c>
    </x:row>
    <x:row r="4">
      <x:c r="A4" s="16" t="str">
        <x:v>现金</x:v>
      </x:c>
      <x:c r="B4" s="28" t="n">
        <x:v>120</x:v>
      </x:c>
      <x:c r="C4" s="28" t="n">
        <x:v>140</x:v>
      </x:c>
      <x:c r="D4" s="34" t="n">
        <x:f>'现金流量表'!D17</x:f>
        <x:v>196.72887671232883</x:v>
      </x:c>
      <x:c r="E4" s="34" t="n">
        <x:f>'现金流量表'!E17</x:f>
        <x:v>278.37915616438363</x:v>
      </x:c>
      <x:c r="F4" s="34" t="n">
        <x:f>'现金流量表'!F17</x:f>
        <x:v>376.74423767671226</x:v>
      </x:c>
      <x:c r="G4" s="34" t="n">
        <x:f>'现金流量表'!G17</x:f>
        <x:v>505.3268466787946</x:v>
      </x:c>
      <x:c r="H4" s="34" t="n">
        <x:f>'现金流量表'!H17</x:f>
        <x:v>647.0412772947464</x:v>
      </x:c>
    </x:row>
    <x:row r="5">
      <x:c r="A5" s="16" t="str">
        <x:v>应收账款</x:v>
      </x:c>
      <x:c r="B5" s="28" t="n">
        <x:v>82</x:v>
      </x:c>
      <x:c r="C5" s="28" t="n">
        <x:v>92</x:v>
      </x:c>
      <x:c r="D5" s="34" t="n">
        <x:f>'利润表'!D4/365*'经营驱动'!D8</x:f>
        <x:v>101.26027397260273</x:v>
      </x:c>
      <x:c r="E5" s="34" t="n">
        <x:f>'利润表'!E4/365*'经营驱动'!E8</x:f>
        <x:v>106.69457534246577</x:v>
      </x:c>
      <x:c r="F5" s="34" t="n">
        <x:f>'利润表'!F4/365*'经营驱动'!F8</x:f>
        <x:v>115.23014136986303</x:v>
      </x:c>
      <x:c r="G5" s="34" t="n">
        <x:f>'利润表'!G4/365*'经营驱动'!G8</x:f>
        <x:v>119.04465639452057</x:v>
      </x:c>
      <x:c r="H5" s="34" t="n">
        <x:f>'利润表'!H4/365*'经营驱动'!H8</x:f>
        <x:v>126.18733577819182</x:v>
      </x:c>
    </x:row>
    <x:row r="6">
      <x:c r="A6" s="16" t="str">
        <x:v>存货</x:v>
      </x:c>
      <x:c r="B6" s="28" t="n">
        <x:v>110</x:v>
      </x:c>
      <x:c r="C6" s="28" t="n">
        <x:v>125</x:v>
      </x:c>
      <x:c r="D6" s="34" t="n">
        <x:f>-'利润表'!D6/365*'经营驱动'!D9</x:f>
        <x:v>89.1090410958904</x:v>
      </x:c>
      <x:c r="E6" s="34" t="n">
        <x:f>-'利润表'!E6/365*'经营驱动'!E9</x:f>
        <x:v>94.13036931506849</x:v>
      </x:c>
      <x:c r="F6" s="34" t="n">
        <x:f>-'利润表'!F6/365*'经营驱动'!F9</x:f>
        <x:v>98.46216907397263</x:v>
      </x:c>
      <x:c r="G6" s="34" t="n">
        <x:f>-'利润表'!G6/365*'经营驱动'!G9</x:f>
        <x:v>101.97450298652058</x:v>
      </x:c>
      <x:c r="H6" s="34" t="n">
        <x:f>-'利润表'!H6/365*'经营驱动'!H9</x:f>
        <x:v>104.55522107335895</x:v>
      </x:c>
    </x:row>
    <x:row r="7">
      <x:c r="A7" s="16" t="str">
        <x:v>固定资产净额</x:v>
      </x:c>
      <x:c r="B7" s="28" t="n">
        <x:v>300</x:v>
      </x:c>
      <x:c r="C7" s="28" t="n">
        <x:v>330</x:v>
      </x:c>
      <x:c r="D7" s="34" t="n">
        <x:f>C7-'现金流量表'!D10+'利润表'!D11</x:f>
        <x:v>370.92</x:v>
      </x:c>
      <x:c r="E7" s="34" t="n">
        <x:f>D7-'现金流量表'!E10+'利润表'!E11</x:f>
        <x:v>411.71504000000004</x:v>
      </x:c>
      <x:c r="F7" s="34" t="n">
        <x:f>E7-'现金流量表'!F10+'利润表'!F11</x:f>
        <x:v>451.76091840000004</x:v>
      </x:c>
      <x:c r="G7" s="34" t="n">
        <x:f>F7-'现金流量表'!G10+'利润表'!G11</x:f>
        <x:v>490.38376147200006</x:v>
      </x:c>
      <x:c r="H7" s="34" t="n">
        <x:f>G7-'现金流量表'!H10+'利润表'!H11</x:f>
        <x:v>526.88237222016</x:v>
      </x:c>
    </x:row>
    <x:row r="8">
      <x:c r="A8" s="16" t="str">
        <x:v>其他资产</x:v>
      </x:c>
      <x:c r="B8" s="28" t="n">
        <x:v>50</x:v>
      </x:c>
      <x:c r="C8" s="28" t="n">
        <x:v>50</x:v>
      </x:c>
      <x:c r="D8" s="34" t="n">
        <x:f>C8</x:f>
        <x:v>50</x:v>
      </x:c>
      <x:c r="E8" s="34" t="n">
        <x:f>D8</x:f>
        <x:v>50</x:v>
      </x:c>
      <x:c r="F8" s="34" t="n">
        <x:f>E8</x:f>
        <x:v>50</x:v>
      </x:c>
      <x:c r="G8" s="34" t="n">
        <x:f>F8</x:f>
        <x:v>50</x:v>
      </x:c>
      <x:c r="H8" s="34" t="n">
        <x:f>G8</x:f>
        <x:v>50</x:v>
      </x:c>
    </x:row>
    <x:row r="9">
      <x:c r="A9" s="16" t="str">
        <x:v>资产总计</x:v>
      </x:c>
      <x:c r="B9" s="29" t="n">
        <x:f>SUM(B4:B8)</x:f>
        <x:v>662</x:v>
      </x:c>
      <x:c r="C9" s="29" t="n">
        <x:f>SUM(C4:C8)</x:f>
        <x:v>737</x:v>
      </x:c>
      <x:c r="D9" s="34" t="n">
        <x:f>SUM(D4:D8)</x:f>
        <x:v>808.018191780822</x:v>
      </x:c>
      <x:c r="E9" s="34" t="n">
        <x:f>SUM(E4:E8)</x:f>
        <x:v>940.919140821918</x:v>
      </x:c>
      <x:c r="F9" s="34" t="n">
        <x:f>SUM(F4:F8)</x:f>
        <x:v>1092.197466520548</x:v>
      </x:c>
      <x:c r="G9" s="34" t="n">
        <x:f>SUM(G4:G8)</x:f>
        <x:v>1266.7297675318357</x:v>
      </x:c>
      <x:c r="H9" s="34" t="n">
        <x:f>SUM(H4:H8)</x:f>
        <x:v>1454.6662063664571</x:v>
      </x:c>
    </x:row>
    <x:row r="10">
      <x:c r="A10" s="16" t="str">
        <x:v>应付账款</x:v>
      </x:c>
      <x:c r="B10" s="28" t="n">
        <x:v>95</x:v>
      </x:c>
      <x:c r="C10" s="28" t="n">
        <x:v>105</x:v>
      </x:c>
      <x:c r="D10" s="34" t="n">
        <x:f>-'利润表'!D6/365*'经营驱动'!D10</x:f>
        <x:v>70.88219178082191</x:v>
      </x:c>
      <x:c r="E10" s="34" t="n">
        <x:f>-'利润表'!E6/365*'经营驱动'!E10</x:f>
        <x:v>78.80682082191781</x:v>
      </x:c>
      <x:c r="F10" s="34" t="n">
        <x:f>-'利润表'!F6/365*'经营驱动'!F10</x:f>
        <x:v>84.39614492054797</x:v>
      </x:c>
      <x:c r="G10" s="34" t="n">
        <x:f>-'利润表'!G6/365*'经营驱动'!G10</x:f>
        <x:v>92.02577098783564</x:v>
      </x:c>
      <x:c r="H10" s="34" t="n">
        <x:f>-'利润表'!H6/365*'经营驱动'!H10</x:f>
        <x:v>96.71357949285704</x:v>
      </x:c>
    </x:row>
    <x:row r="11">
      <x:c r="A11" s="16" t="str">
        <x:v>债务</x:v>
      </x:c>
      <x:c r="B11" s="28" t="n">
        <x:v>250</x:v>
      </x:c>
      <x:c r="C11" s="28" t="n">
        <x:v>230</x:v>
      </x:c>
      <x:c r="D11" s="34" t="n">
        <x:f>'债务与利息'!D6</x:f>
        <x:v>210</x:v>
      </x:c>
      <x:c r="E11" s="34" t="n">
        <x:f>'债务与利息'!E6</x:f>
        <x:v>190</x:v>
      </x:c>
      <x:c r="F11" s="34" t="n">
        <x:f>'债务与利息'!F6</x:f>
        <x:v>170</x:v>
      </x:c>
      <x:c r="G11" s="34" t="n">
        <x:f>'债务与利息'!G6</x:f>
        <x:v>150</x:v>
      </x:c>
      <x:c r="H11" s="34" t="n">
        <x:f>'债务与利息'!H6</x:f>
        <x:v>130</x:v>
      </x:c>
    </x:row>
    <x:row r="12">
      <x:c r="A12" s="16" t="str">
        <x:v>其他负债</x:v>
      </x:c>
      <x:c r="B12" s="28" t="n">
        <x:v>80</x:v>
      </x:c>
      <x:c r="C12" s="28" t="n">
        <x:v>80</x:v>
      </x:c>
      <x:c r="D12" s="34" t="n">
        <x:f>C12</x:f>
        <x:v>80</x:v>
      </x:c>
      <x:c r="E12" s="34" t="n">
        <x:f>D12</x:f>
        <x:v>80</x:v>
      </x:c>
      <x:c r="F12" s="34" t="n">
        <x:f>E12</x:f>
        <x:v>80</x:v>
      </x:c>
      <x:c r="G12" s="34" t="n">
        <x:f>F12</x:f>
        <x:v>80</x:v>
      </x:c>
      <x:c r="H12" s="34" t="n">
        <x:f>G12</x:f>
        <x:v>80</x:v>
      </x:c>
    </x:row>
    <x:row r="13">
      <x:c r="A13" s="16" t="str">
        <x:v>负债合计</x:v>
      </x:c>
      <x:c r="B13" s="29" t="n">
        <x:f>SUM(B10:B12)</x:f>
        <x:v>425</x:v>
      </x:c>
      <x:c r="C13" s="29" t="n">
        <x:f>SUM(C10:C12)</x:f>
        <x:v>415</x:v>
      </x:c>
      <x:c r="D13" s="34" t="n">
        <x:f>SUM(D10:D12)</x:f>
        <x:v>360.8821917808219</x:v>
      </x:c>
      <x:c r="E13" s="34" t="n">
        <x:f>SUM(E10:E12)</x:f>
        <x:v>348.8068208219178</x:v>
      </x:c>
      <x:c r="F13" s="34" t="n">
        <x:f>SUM(F10:F12)</x:f>
        <x:v>334.39614492054795</x:v>
      </x:c>
      <x:c r="G13" s="34" t="n">
        <x:f>SUM(G10:G12)</x:f>
        <x:v>322.02577098783564</x:v>
      </x:c>
      <x:c r="H13" s="34" t="n">
        <x:f>SUM(H10:H12)</x:f>
        <x:v>306.71357949285704</x:v>
      </x:c>
    </x:row>
    <x:row r="14">
      <x:c r="A14" s="16" t="str">
        <x:v>股本</x:v>
      </x:c>
      <x:c r="B14" s="28" t="n">
        <x:v>200</x:v>
      </x:c>
      <x:c r="C14" s="28" t="n">
        <x:v>200</x:v>
      </x:c>
      <x:c r="D14" s="34" t="n">
        <x:f>C14</x:f>
        <x:v>200</x:v>
      </x:c>
      <x:c r="E14" s="34" t="n">
        <x:f>D14</x:f>
        <x:v>200</x:v>
      </x:c>
      <x:c r="F14" s="34" t="n">
        <x:f>E14</x:f>
        <x:v>200</x:v>
      </x:c>
      <x:c r="G14" s="34" t="n">
        <x:f>F14</x:f>
        <x:v>200</x:v>
      </x:c>
      <x:c r="H14" s="34" t="n">
        <x:f>G14</x:f>
        <x:v>200</x:v>
      </x:c>
    </x:row>
    <x:row r="15">
      <x:c r="A15" s="16" t="str">
        <x:v>留存收益</x:v>
      </x:c>
      <x:c r="B15" s="29" t="n">
        <x:f>B9-B13-B14</x:f>
        <x:v>37</x:v>
      </x:c>
      <x:c r="C15" s="29" t="n">
        <x:f>C9-C13-C14</x:f>
        <x:v>122</x:v>
      </x:c>
      <x:c r="D15" s="34" t="n">
        <x:f>C15+'利润表'!D16+'现金流量表'!D13</x:f>
        <x:v>247.13600000000005</x:v>
      </x:c>
      <x:c r="E15" s="34" t="n">
        <x:f>D15+'利润表'!E16+'现金流量表'!E13</x:f>
        <x:v>392.1123200000001</x:v>
      </x:c>
      <x:c r="F15" s="34" t="n">
        <x:f>E15+'利润表'!F16+'现金流量表'!F13</x:f>
        <x:v>557.8013216000002</x:v>
      </x:c>
      <x:c r="G15" s="34" t="n">
        <x:f>F15+'利润表'!G16+'现金流量表'!G13</x:f>
        <x:v>744.7039965440003</x:v>
      </x:c>
      <x:c r="H15" s="34" t="n">
        <x:f>G15+'利润表'!H16+'现金流量表'!H13</x:f>
        <x:v>947.9526268736004</x:v>
      </x:c>
    </x:row>
    <x:row r="16">
      <x:c r="A16" s="16" t="str">
        <x:v>股东权益合计</x:v>
      </x:c>
      <x:c r="B16" s="29" t="n">
        <x:f>SUM(B14:B15)</x:f>
        <x:v>237</x:v>
      </x:c>
      <x:c r="C16" s="29" t="n">
        <x:f>SUM(C14:C15)</x:f>
        <x:v>322</x:v>
      </x:c>
      <x:c r="D16" s="34" t="n">
        <x:f>SUM(D14:D15)</x:f>
        <x:v>447.1360000000001</x:v>
      </x:c>
      <x:c r="E16" s="34" t="n">
        <x:f>SUM(E14:E15)</x:f>
        <x:v>592.1123200000002</x:v>
      </x:c>
      <x:c r="F16" s="34" t="n">
        <x:f>SUM(F14:F15)</x:f>
        <x:v>757.8013216000002</x:v>
      </x:c>
      <x:c r="G16" s="34" t="n">
        <x:f>SUM(G14:G15)</x:f>
        <x:v>944.7039965440003</x:v>
      </x:c>
      <x:c r="H16" s="34" t="n">
        <x:f>SUM(H14:H15)</x:f>
        <x:v>1147.9526268736004</x:v>
      </x:c>
    </x:row>
    <x:row r="17">
      <x:c r="A17" s="16" t="str">
        <x:v>负债和股东权益总计</x:v>
      </x:c>
      <x:c r="B17" s="29" t="n">
        <x:f>SUM(B13,B16)</x:f>
        <x:v>662</x:v>
      </x:c>
      <x:c r="C17" s="29" t="n">
        <x:f>SUM(C13,C16)</x:f>
        <x:v>737</x:v>
      </x:c>
      <x:c r="D17" s="34" t="n">
        <x:f>SUM(D13,D16)</x:f>
        <x:v>808.018191780822</x:v>
      </x:c>
      <x:c r="E17" s="34" t="n">
        <x:f>SUM(E13,E16)</x:f>
        <x:v>940.9191408219181</x:v>
      </x:c>
      <x:c r="F17" s="34" t="n">
        <x:f>SUM(F13,F16)</x:f>
        <x:v>1092.197466520548</x:v>
      </x:c>
      <x:c r="G17" s="34" t="n">
        <x:f>SUM(G13,G16)</x:f>
        <x:v>1266.729767531836</x:v>
      </x:c>
      <x:c r="H17" s="34" t="n">
        <x:f>SUM(H13,H16)</x:f>
        <x:v>1454.6662063664573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2" t="str">
        <x:v>现金流量表</x:v>
      </x:c>
      <x:c r="B1" s="22"/>
      <x:c r="C1" s="22"/>
      <x:c r="D1" s="22"/>
      <x:c r="E1" s="22"/>
      <x:c r="F1" s="22"/>
      <x:c r="G1" s="22"/>
      <x:c r="H1" s="22"/>
    </x:row>
    <x:row r="2">
      <x:c r="A2" s="16"/>
      <x:c r="B2" s="16"/>
      <x:c r="C2" s="16"/>
      <x:c r="D2" s="16"/>
      <x:c r="E2" s="16"/>
      <x:c r="F2" s="16"/>
      <x:c r="G2" s="16"/>
      <x:c r="H2" s="16"/>
    </x:row>
    <x:row r="3">
      <x:c r="A3" s="24" t="str">
        <x:v>人民币百万元</x:v>
      </x:c>
      <x:c r="B3" s="24" t="str">
        <x:v>2024A</x:v>
      </x:c>
      <x:c r="C3" s="24" t="str">
        <x:v>2025A</x:v>
      </x:c>
      <x:c r="D3" s="33" t="str">
        <x:v>2026E</x:v>
      </x:c>
      <x:c r="E3" s="33" t="str">
        <x:v>2027E</x:v>
      </x:c>
      <x:c r="F3" s="33" t="str">
        <x:v>2028E</x:v>
      </x:c>
      <x:c r="G3" s="33" t="str">
        <x:v>2029E</x:v>
      </x:c>
      <x:c r="H3" s="33" t="str">
        <x:v>2030E</x:v>
      </x:c>
    </x:row>
    <x:row r="4">
      <x:c r="A4" s="16" t="str">
        <x:v>净利润</x:v>
      </x:c>
      <x:c r="B4" s="28" t="n">
        <x:v>103</x:v>
      </x:c>
      <x:c r="C4" s="28" t="n">
        <x:v>128</x:v>
      </x:c>
      <x:c r="D4" s="34" t="n">
        <x:f>'利润表'!D16</x:f>
        <x:v>156.42000000000004</x:v>
      </x:c>
      <x:c r="E4" s="34" t="n">
        <x:f>'利润表'!E16</x:f>
        <x:v>181.22040000000007</x:v>
      </x:c>
      <x:c r="F4" s="34" t="n">
        <x:f>'利润表'!F16</x:f>
        <x:v>207.11125199999992</x:v>
      </x:c>
      <x:c r="G4" s="34" t="n">
        <x:f>'利润表'!G16</x:f>
        <x:v>233.62834368000014</x:v>
      </x:c>
      <x:c r="H4" s="34" t="n">
        <x:f>'利润表'!H16</x:f>
        <x:v>254.06078791199997</x:v>
      </x:c>
    </x:row>
    <x:row r="5">
      <x:c r="A5" s="16" t="str">
        <x:v>加：折旧与摊销</x:v>
      </x:c>
      <x:c r="B5" s="28" t="n">
        <x:v>30</x:v>
      </x:c>
      <x:c r="C5" s="28" t="n">
        <x:v>30</x:v>
      </x:c>
      <x:c r="D5" s="34" t="n">
        <x:f>-'利润表'!D11</x:f>
        <x:v>33</x:v>
      </x:c>
      <x:c r="E5" s="34" t="n">
        <x:f>-'利润表'!E11</x:f>
        <x:v>37.092000000000006</x:v>
      </x:c>
      <x:c r="F5" s="34" t="n">
        <x:f>-'利润表'!F11</x:f>
        <x:v>41.171504000000006</x:v>
      </x:c>
      <x:c r="G5" s="34" t="n">
        <x:f>-'利润表'!G11</x:f>
        <x:v>45.176091840000005</x:v>
      </x:c>
      <x:c r="H5" s="34" t="n">
        <x:f>-'利润表'!H11</x:f>
        <x:v>49.03837614720001</x:v>
      </x:c>
    </x:row>
    <x:row r="6">
      <x:c r="A6" s="16" t="str">
        <x:v>减：应收账款增加</x:v>
      </x:c>
      <x:c r="B6" s="28" t="n">
        <x:v>0</x:v>
      </x:c>
      <x:c r="C6" s="28" t="n">
        <x:v>-10</x:v>
      </x:c>
      <x:c r="D6" s="34" t="n">
        <x:f>-('资产负债表'!D5-'资产负债表'!C5)</x:f>
        <x:v>-9.260273972602732</x:v>
      </x:c>
      <x:c r="E6" s="34" t="n">
        <x:f>-('资产负债表'!E5-'资产负债表'!D5)</x:f>
        <x:v>-5.434301369863036</x:v>
      </x:c>
      <x:c r="F6" s="34" t="n">
        <x:f>-('资产负债表'!F5-'资产负债表'!E5)</x:f>
        <x:v>-8.535566027397266</x:v>
      </x:c>
      <x:c r="G6" s="34" t="n">
        <x:f>-('资产负债表'!G5-'资产负债表'!F5)</x:f>
        <x:v>-3.8145150246575383</x:v>
      </x:c>
      <x:c r="H6" s="34" t="n">
        <x:f>-('资产负债表'!H5-'资产负债表'!G5)</x:f>
        <x:v>-7.1426793836712505</x:v>
      </x:c>
    </x:row>
    <x:row r="7">
      <x:c r="A7" s="16" t="str">
        <x:v>减：存货增加</x:v>
      </x:c>
      <x:c r="B7" s="28" t="n">
        <x:v>0</x:v>
      </x:c>
      <x:c r="C7" s="28" t="n">
        <x:v>-15</x:v>
      </x:c>
      <x:c r="D7" s="34" t="n">
        <x:f>-('资产负债表'!D6-'资产负债表'!C6)</x:f>
        <x:v>35.890958904109596</x:v>
      </x:c>
      <x:c r="E7" s="34" t="n">
        <x:f>-('资产负债表'!E6-'资产负债表'!D6)</x:f>
        <x:v>-5.021328219178088</x:v>
      </x:c>
      <x:c r="F7" s="34" t="n">
        <x:f>-('资产负债表'!F6-'资产负债表'!E6)</x:f>
        <x:v>-4.33179975890414</x:v>
      </x:c>
      <x:c r="G7" s="34" t="n">
        <x:f>-('资产负债表'!G6-'资产负债表'!F6)</x:f>
        <x:v>-3.5123339125479447</x:v>
      </x:c>
      <x:c r="H7" s="34" t="n">
        <x:f>-('资产负债表'!H6-'资产负债表'!G6)</x:f>
        <x:v>-2.580718086838374</x:v>
      </x:c>
    </x:row>
    <x:row r="8">
      <x:c r="A8" s="16" t="str">
        <x:v>加：应付账款增加</x:v>
      </x:c>
      <x:c r="B8" s="28" t="n">
        <x:v>0</x:v>
      </x:c>
      <x:c r="C8" s="28" t="n">
        <x:v>10</x:v>
      </x:c>
      <x:c r="D8" s="34" t="n">
        <x:f>('资产负债表'!D10-'资产负债表'!C10)</x:f>
        <x:v>-34.11780821917809</x:v>
      </x:c>
      <x:c r="E8" s="34" t="n">
        <x:f>('资产负债表'!E10-'资产负债表'!D10)</x:f>
        <x:v>7.924629041095898</x:v>
      </x:c>
      <x:c r="F8" s="34" t="n">
        <x:f>('资产负债表'!F10-'资产负债表'!E10)</x:f>
        <x:v>5.589324098630158</x:v>
      </x:c>
      <x:c r="G8" s="34" t="n">
        <x:f>('资产负债表'!G10-'资产负债表'!F10)</x:f>
        <x:v>7.629626067287674</x:v>
      </x:c>
      <x:c r="H8" s="34" t="n">
        <x:f>('资产负债表'!H10-'资产负债表'!G10)</x:f>
        <x:v>4.687808505021394</x:v>
      </x:c>
    </x:row>
    <x:row r="9">
      <x:c r="A9" s="16" t="str">
        <x:v>经营活动现金流</x:v>
      </x:c>
      <x:c r="B9" s="28" t="n">
        <x:v>133</x:v>
      </x:c>
      <x:c r="C9" s="28" t="n">
        <x:v>143</x:v>
      </x:c>
      <x:c r="D9" s="34" t="n">
        <x:f>SUM(D4:D8)</x:f>
        <x:v>181.93287671232883</x:v>
      </x:c>
      <x:c r="E9" s="34" t="n">
        <x:f>SUM(E4:E8)</x:f>
        <x:v>215.78139945205487</x:v>
      </x:c>
      <x:c r="F9" s="34" t="n">
        <x:f>SUM(F4:F8)</x:f>
        <x:v>241.00471431232867</x:v>
      </x:c>
      <x:c r="G9" s="34" t="n">
        <x:f>SUM(G4:G8)</x:f>
        <x:v>279.1072126500824</x:v>
      </x:c>
      <x:c r="H9" s="34" t="n">
        <x:f>SUM(H4:H8)</x:f>
        <x:v>298.0635750937118</x:v>
      </x:c>
    </x:row>
    <x:row r="10">
      <x:c r="A10" s="16" t="str">
        <x:v>资本开支</x:v>
      </x:c>
      <x:c r="B10" s="28" t="n">
        <x:v>-50</x:v>
      </x:c>
      <x:c r="C10" s="28" t="n">
        <x:v>-60</x:v>
      </x:c>
      <x:c r="D10" s="34" t="n">
        <x:f>-'利润表'!D4*'经营驱动'!D11</x:f>
        <x:v>-73.92</x:v>
      </x:c>
      <x:c r="E10" s="34" t="n">
        <x:f>-'利润表'!E4*'经营驱动'!E11</x:f>
        <x:v>-77.88704000000001</x:v>
      </x:c>
      <x:c r="F10" s="34" t="n">
        <x:f>-'利润表'!F4*'经营驱动'!F11</x:f>
        <x:v>-81.21738240000002</x:v>
      </x:c>
      <x:c r="G10" s="34" t="n">
        <x:f>-'利润表'!G4*'经营驱动'!G11</x:f>
        <x:v>-83.79893491200002</x:v>
      </x:c>
      <x:c r="H10" s="34" t="n">
        <x:f>-'利润表'!H4*'经营驱动'!H11</x:f>
        <x:v>-85.53698689536002</x:v>
      </x:c>
    </x:row>
    <x:row r="11">
      <x:c r="A11" s="16" t="str">
        <x:v>投资活动现金流</x:v>
      </x:c>
      <x:c r="B11" s="28" t="n">
        <x:v>-50</x:v>
      </x:c>
      <x:c r="C11" s="28" t="n">
        <x:v>-60</x:v>
      </x:c>
      <x:c r="D11" s="34" t="n">
        <x:f>D10</x:f>
        <x:v>-73.92</x:v>
      </x:c>
      <x:c r="E11" s="34" t="n">
        <x:f>E10</x:f>
        <x:v>-77.88704000000001</x:v>
      </x:c>
      <x:c r="F11" s="34" t="n">
        <x:f>F10</x:f>
        <x:v>-81.21738240000002</x:v>
      </x:c>
      <x:c r="G11" s="34" t="n">
        <x:f>G10</x:f>
        <x:v>-83.79893491200002</x:v>
      </x:c>
      <x:c r="H11" s="34" t="n">
        <x:f>H10</x:f>
        <x:v>-85.53698689536002</x:v>
      </x:c>
    </x:row>
    <x:row r="12">
      <x:c r="A12" s="16" t="str">
        <x:v>债务变动</x:v>
      </x:c>
      <x:c r="B12" s="28" t="n">
        <x:v>0</x:v>
      </x:c>
      <x:c r="C12" s="28" t="n">
        <x:v>-20</x:v>
      </x:c>
      <x:c r="D12" s="34" t="n">
        <x:f>'资产负债表'!D11-'资产负债表'!C11</x:f>
        <x:v>-20</x:v>
      </x:c>
      <x:c r="E12" s="34" t="n">
        <x:f>'资产负债表'!E11-'资产负债表'!D11</x:f>
        <x:v>-20</x:v>
      </x:c>
      <x:c r="F12" s="34" t="n">
        <x:f>'资产负债表'!F11-'资产负债表'!E11</x:f>
        <x:v>-20</x:v>
      </x:c>
      <x:c r="G12" s="34" t="n">
        <x:f>'资产负债表'!G11-'资产负债表'!F11</x:f>
        <x:v>-20</x:v>
      </x:c>
      <x:c r="H12" s="34" t="n">
        <x:f>'资产负债表'!H11-'资产负债表'!G11</x:f>
        <x:v>-20</x:v>
      </x:c>
    </x:row>
    <x:row r="13">
      <x:c r="A13" s="16" t="str">
        <x:v>股利支付</x:v>
      </x:c>
      <x:c r="B13" s="28" t="n">
        <x:v>-20</x:v>
      </x:c>
      <x:c r="C13" s="28" t="n">
        <x:v>-43</x:v>
      </x:c>
      <x:c r="D13" s="34" t="n">
        <x:f>-'利润表'!D16*'经营驱动'!D15</x:f>
        <x:v>-31.28400000000001</x:v>
      </x:c>
      <x:c r="E13" s="34" t="n">
        <x:f>-'利润表'!E16*'经营驱动'!E15</x:f>
        <x:v>-36.24408000000002</x:v>
      </x:c>
      <x:c r="F13" s="34" t="n">
        <x:f>-'利润表'!F16*'经营驱动'!F15</x:f>
        <x:v>-41.42225039999999</x:v>
      </x:c>
      <x:c r="G13" s="34" t="n">
        <x:f>-'利润表'!G16*'经营驱动'!G15</x:f>
        <x:v>-46.72566873600003</x:v>
      </x:c>
      <x:c r="H13" s="34" t="n">
        <x:f>-'利润表'!H16*'经营驱动'!H15</x:f>
        <x:v>-50.8121575824</x:v>
      </x:c>
    </x:row>
    <x:row r="14">
      <x:c r="A14" s="16" t="str">
        <x:v>融资活动现金流</x:v>
      </x:c>
      <x:c r="B14" s="28" t="n">
        <x:v>-20</x:v>
      </x:c>
      <x:c r="C14" s="28" t="n">
        <x:v>-63</x:v>
      </x:c>
      <x:c r="D14" s="34" t="n">
        <x:f>SUM(D12:D13)</x:f>
        <x:v>-51.284000000000006</x:v>
      </x:c>
      <x:c r="E14" s="34" t="n">
        <x:f>SUM(E12:E13)</x:f>
        <x:v>-56.24408000000002</x:v>
      </x:c>
      <x:c r="F14" s="34" t="n">
        <x:f>SUM(F12:F13)</x:f>
        <x:v>-61.42225039999999</x:v>
      </x:c>
      <x:c r="G14" s="34" t="n">
        <x:f>SUM(G12:G13)</x:f>
        <x:v>-66.72566873600003</x:v>
      </x:c>
      <x:c r="H14" s="34" t="n">
        <x:f>SUM(H12:H13)</x:f>
        <x:v>-70.8121575824</x:v>
      </x:c>
    </x:row>
    <x:row r="15">
      <x:c r="A15" s="16" t="str">
        <x:v>现金净增加额</x:v>
      </x:c>
      <x:c r="B15" s="28" t="n">
        <x:v>63</x:v>
      </x:c>
      <x:c r="C15" s="28" t="n">
        <x:v>20</x:v>
      </x:c>
      <x:c r="D15" s="34" t="n">
        <x:f>SUM(D9,D11,D14)</x:f>
        <x:v>56.72887671232883</x:v>
      </x:c>
      <x:c r="E15" s="34" t="n">
        <x:f>SUM(E9,E11,E14)</x:f>
        <x:v>81.65027945205483</x:v>
      </x:c>
      <x:c r="F15" s="34" t="n">
        <x:f>SUM(F9,F11,F14)</x:f>
        <x:v>98.36508151232866</x:v>
      </x:c>
      <x:c r="G15" s="34" t="n">
        <x:f>SUM(G9,G11,G14)</x:f>
        <x:v>128.58260900208234</x:v>
      </x:c>
      <x:c r="H15" s="34" t="n">
        <x:f>SUM(H9,H11,H14)</x:f>
        <x:v>141.71443061595176</x:v>
      </x:c>
    </x:row>
    <x:row r="16">
      <x:c r="A16" s="16" t="str">
        <x:v>期初现金</x:v>
      </x:c>
      <x:c r="B16" s="28" t="n">
        <x:v>57</x:v>
      </x:c>
      <x:c r="C16" s="28" t="n">
        <x:v>120</x:v>
      </x:c>
      <x:c r="D16" s="34" t="n">
        <x:f>'资产负债表'!C4</x:f>
        <x:v>140</x:v>
      </x:c>
      <x:c r="E16" s="34" t="n">
        <x:f>'资产负债表'!D4</x:f>
        <x:v>196.72887671232883</x:v>
      </x:c>
      <x:c r="F16" s="34" t="n">
        <x:f>'资产负债表'!E4</x:f>
        <x:v>278.37915616438363</x:v>
      </x:c>
      <x:c r="G16" s="34" t="n">
        <x:f>'资产负债表'!F4</x:f>
        <x:v>376.74423767671226</x:v>
      </x:c>
      <x:c r="H16" s="34" t="n">
        <x:f>'资产负债表'!G4</x:f>
        <x:v>505.3268466787946</x:v>
      </x:c>
    </x:row>
    <x:row r="17">
      <x:c r="A17" s="16" t="str">
        <x:v>期末现金</x:v>
      </x:c>
      <x:c r="B17" s="28" t="n">
        <x:v>120</x:v>
      </x:c>
      <x:c r="C17" s="28" t="n">
        <x:v>140</x:v>
      </x:c>
      <x:c r="D17" s="34" t="n">
        <x:f>D16+D15</x:f>
        <x:v>196.72887671232883</x:v>
      </x:c>
      <x:c r="E17" s="34" t="n">
        <x:f>E16+E15</x:f>
        <x:v>278.37915616438363</x:v>
      </x:c>
      <x:c r="F17" s="34" t="n">
        <x:f>F16+F15</x:f>
        <x:v>376.74423767671226</x:v>
      </x:c>
      <x:c r="G17" s="34" t="n">
        <x:f>G16+G15</x:f>
        <x:v>505.3268466787946</x:v>
      </x:c>
      <x:c r="H17" s="34" t="n">
        <x:f>H16+H15</x:f>
        <x:v>647.0412772947464</x:v>
      </x:c>
    </x:row>
    <x:row r="18">
      <x:c r="A18" s="16" t="str">
        <x:v>现金勾稽差额</x:v>
      </x:c>
      <x:c r="B18" s="28" t="n">
        <x:v>0</x:v>
      </x:c>
      <x:c r="C18" s="28" t="n">
        <x:v>0</x:v>
      </x:c>
      <x:c r="D18" s="34" t="n">
        <x:f>D17-'资产负债表'!D4</x:f>
        <x:v>0</x:v>
      </x:c>
      <x:c r="E18" s="34" t="n">
        <x:f>E17-'资产负债表'!E4</x:f>
        <x:v>0</x:v>
      </x:c>
      <x:c r="F18" s="34" t="n">
        <x:f>F17-'资产负债表'!F4</x:f>
        <x:v>0</x:v>
      </x:c>
      <x:c r="G18" s="34" t="n">
        <x:f>G17-'资产负债表'!G4</x:f>
        <x:v>0</x:v>
      </x:c>
      <x:c r="H18" s="34" t="n">
        <x:f>H17-'资产负债表'!H4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2" t="str">
        <x:v>债务与利息</x:v>
      </x:c>
      <x:c r="B1" s="22"/>
      <x:c r="C1" s="22"/>
      <x:c r="D1" s="22"/>
      <x:c r="E1" s="22"/>
      <x:c r="F1" s="22"/>
      <x:c r="G1" s="22"/>
      <x:c r="H1" s="22"/>
    </x:row>
    <x:row r="2">
      <x:c r="A2" s="16"/>
      <x:c r="B2" s="16"/>
      <x:c r="C2" s="16"/>
      <x:c r="D2" s="16"/>
      <x:c r="E2" s="16"/>
      <x:c r="F2" s="16"/>
      <x:c r="G2" s="16"/>
      <x:c r="H2" s="16"/>
    </x:row>
    <x:row r="3">
      <x:c r="A3" s="24" t="str">
        <x:v>人民币百万元</x:v>
      </x:c>
      <x:c r="B3" s="24" t="str">
        <x:v>2024A</x:v>
      </x:c>
      <x:c r="C3" s="24" t="str">
        <x:v>2025A</x:v>
      </x:c>
      <x:c r="D3" s="33" t="str">
        <x:v>2026E</x:v>
      </x:c>
      <x:c r="E3" s="33" t="str">
        <x:v>2027E</x:v>
      </x:c>
      <x:c r="F3" s="33" t="str">
        <x:v>2028E</x:v>
      </x:c>
      <x:c r="G3" s="33" t="str">
        <x:v>2029E</x:v>
      </x:c>
      <x:c r="H3" s="33" t="str">
        <x:v>2030E</x:v>
      </x:c>
    </x:row>
    <x:row r="4">
      <x:c r="A4" s="16" t="str">
        <x:v>期初债务</x:v>
      </x:c>
      <x:c r="B4" s="29" t="n">
        <x:f>'资产负债表'!B11</x:f>
        <x:v>250</x:v>
      </x:c>
      <x:c r="C4" s="29" t="n">
        <x:f>'资产负债表'!B11</x:f>
        <x:v>250</x:v>
      </x:c>
      <x:c r="D4" s="34" t="n">
        <x:f>C6</x:f>
        <x:v>230</x:v>
      </x:c>
      <x:c r="E4" s="34" t="n">
        <x:f>D6</x:f>
        <x:v>210</x:v>
      </x:c>
      <x:c r="F4" s="34" t="n">
        <x:f>E6</x:f>
        <x:v>190</x:v>
      </x:c>
      <x:c r="G4" s="34" t="n">
        <x:f>F6</x:f>
        <x:v>170</x:v>
      </x:c>
      <x:c r="H4" s="34" t="n">
        <x:f>G6</x:f>
        <x:v>150</x:v>
      </x:c>
    </x:row>
    <x:row r="5">
      <x:c r="A5" s="16" t="str">
        <x:v>偿还额</x:v>
      </x:c>
      <x:c r="B5" s="28" t="n">
        <x:v>0</x:v>
      </x:c>
      <x:c r="C5" s="28" t="n">
        <x:v>20</x:v>
      </x:c>
      <x:c r="D5" s="34" t="n">
        <x:f>MIN(D4,'经营驱动'!D14)</x:f>
        <x:v>20</x:v>
      </x:c>
      <x:c r="E5" s="34" t="n">
        <x:f>MIN(E4,'经营驱动'!E14)</x:f>
        <x:v>20</x:v>
      </x:c>
      <x:c r="F5" s="34" t="n">
        <x:f>MIN(F4,'经营驱动'!F14)</x:f>
        <x:v>20</x:v>
      </x:c>
      <x:c r="G5" s="34" t="n">
        <x:f>MIN(G4,'经营驱动'!G14)</x:f>
        <x:v>20</x:v>
      </x:c>
      <x:c r="H5" s="34" t="n">
        <x:f>MIN(H4,'经营驱动'!H14)</x:f>
        <x:v>20</x:v>
      </x:c>
    </x:row>
    <x:row r="6">
      <x:c r="A6" s="16" t="str">
        <x:v>期末债务</x:v>
      </x:c>
      <x:c r="B6" s="29" t="n">
        <x:f>B4-B5</x:f>
        <x:v>250</x:v>
      </x:c>
      <x:c r="C6" s="29" t="n">
        <x:f>C4-C5</x:f>
        <x:v>230</x:v>
      </x:c>
      <x:c r="D6" s="34" t="n">
        <x:f>MAX(0,D4-D5)</x:f>
        <x:v>210</x:v>
      </x:c>
      <x:c r="E6" s="34" t="n">
        <x:f>MAX(0,E4-E5)</x:f>
        <x:v>190</x:v>
      </x:c>
      <x:c r="F6" s="34" t="n">
        <x:f>MAX(0,F4-F5)</x:f>
        <x:v>170</x:v>
      </x:c>
      <x:c r="G6" s="34" t="n">
        <x:f>MAX(0,G4-G5)</x:f>
        <x:v>150</x:v>
      </x:c>
      <x:c r="H6" s="34" t="n">
        <x:f>MAX(0,H4-H5)</x:f>
        <x:v>130</x:v>
      </x:c>
    </x:row>
    <x:row r="7">
      <x:c r="A7" s="16" t="str">
        <x:v>现金利息</x:v>
      </x:c>
      <x:c r="B7" s="29" t="n">
        <x:f>AVERAGE(B4,B6)*'经营驱动'!B13</x:f>
        <x:v>12.5</x:v>
      </x:c>
      <x:c r="C7" s="29" t="n">
        <x:f>AVERAGE(C4,C6)*'经营驱动'!C13</x:f>
        <x:v>12</x:v>
      </x:c>
      <x:c r="D7" s="34" t="n">
        <x:f>AVERAGE(D4,D6)*'经营驱动'!D13</x:f>
        <x:v>11</x:v>
      </x:c>
      <x:c r="E7" s="34" t="n">
        <x:f>AVERAGE(E4,E6)*'经营驱动'!E13</x:f>
        <x:v>10</x:v>
      </x:c>
      <x:c r="F7" s="34" t="n">
        <x:f>AVERAGE(F4,F6)*'经营驱动'!F13</x:f>
        <x:v>9</x:v>
      </x:c>
      <x:c r="G7" s="34" t="n">
        <x:f>AVERAGE(G4,G6)*'经营驱动'!G13</x:f>
        <x:v>8</x:v>
      </x:c>
      <x:c r="H7" s="34" t="n">
        <x:f>AVERAGE(H4,H6)*'经营驱动'!H13</x:f>
        <x:v>7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31" t="str">
        <x:v>模型检查</x:v>
      </x:c>
      <x:c r="B1" s="31"/>
      <x:c r="C1" s="31"/>
      <x:c r="D1" s="31"/>
      <x:c r="E1" s="31"/>
      <x:c r="F1" s="31"/>
      <x:c r="G1" s="31"/>
      <x:c r="H1" s="31"/>
    </x:row>
    <x:row r="3">
      <x:c r="A3" s="6" t="str">
        <x:v>检查项</x:v>
      </x:c>
      <x:c r="B3" s="6" t="str">
        <x:v>实际值</x:v>
      </x:c>
      <x:c r="C3" s="6" t="str">
        <x:v>预期值</x:v>
      </x:c>
      <x:c r="D3" s="6" t="str">
        <x:v>差额</x:v>
      </x:c>
      <x:c r="E3" s="6" t="str">
        <x:v>容差</x:v>
      </x:c>
      <x:c r="F3" s="6" t="str">
        <x:v>状态</x:v>
      </x:c>
    </x:row>
    <x:row r="4">
      <x:c r="A4" t="str">
        <x:v>资产负债表平衡</x:v>
      </x:c>
      <x:c r="B4" t="n">
        <x:f>MAX(ABS('资产负债表'!D9-'资产负债表'!D17),ABS('资产负债表'!E9-'资产负债表'!E17),ABS('资产负债表'!F9-'资产负债表'!F17),ABS('资产负债表'!G9-'资产负债表'!G17),ABS('资产负债表'!H9-'资产负债表'!H17))</x:f>
        <x:v>2.2737367544323206e-13</x:v>
      </x:c>
      <x:c r="C4" t="n">
        <x:v>0</x:v>
      </x:c>
      <x:c r="D4" t="n">
        <x:f>B4-C4</x:f>
        <x:v>2.2737367544323206e-13</x:v>
      </x:c>
      <x:c r="E4" t="n">
        <x:v>0.01</x:v>
      </x:c>
      <x:c r="F4" t="str">
        <x:f>IF(ABS(D4)&lt;=E4,"PASS","FAIL")</x:f>
        <x:v>PASS</x:v>
      </x:c>
    </x:row>
    <x:row r="5">
      <x:c r="A5" t="str">
        <x:v>现金流与资产负债表现金勾稽</x:v>
      </x:c>
      <x:c r="B5" t="n">
        <x:f>MAX(ABS('现金流量表'!D18),ABS('现金流量表'!E18),ABS('现金流量表'!F18),ABS('现金流量表'!G18),ABS('现金流量表'!H18))</x:f>
        <x:v>0</x:v>
      </x:c>
      <x:c r="C5" t="n">
        <x:v>0</x:v>
      </x:c>
      <x:c r="D5" t="n">
        <x:f>B5-C5</x:f>
        <x:v>0</x:v>
      </x:c>
      <x:c r="E5" t="n">
        <x:v>0.01</x:v>
      </x:c>
      <x:c r="F5" t="str">
        <x:f>IF(ABS(D5)&lt;=E5,"PASS","FAIL")</x:f>
        <x:v>PASS</x:v>
      </x:c>
    </x:row>
    <x:row r="6">
      <x:c r="A6" t="str">
        <x:v>债务滚动勾稽</x:v>
      </x:c>
      <x:c r="B6" t="n">
        <x:f>MAX(ABS('资产负债表'!D11-'债务与利息'!D6),ABS('资产负债表'!E11-'债务与利息'!E6),ABS('资产负债表'!F11-'债务与利息'!F6),ABS('资产负债表'!G11-'债务与利息'!G6),ABS('资产负债表'!H11-'债务与利息'!H6))</x:f>
        <x:v>0</x:v>
      </x:c>
      <x:c r="C6" t="n">
        <x:v>0</x:v>
      </x:c>
      <x:c r="D6" t="n">
        <x:f>B6-C6</x:f>
        <x:v>0</x:v>
      </x:c>
      <x:c r="E6" t="n">
        <x:v>0.01</x:v>
      </x:c>
      <x:c r="F6" t="str">
        <x:f>IF(ABS(D6)&lt;=E6,"PASS","FAIL")</x:f>
        <x:v>PASS</x:v>
      </x:c>
    </x:row>
    <x:row r="7">
      <x:c r="A7" t="str">
        <x:v>留存收益滚动勾稽</x:v>
      </x:c>
      <x:c r="B7" t="n">
        <x:f>MAX(ABS('资产负债表'!D15-('资产负债表'!C15+'利润表'!D16+'现金流量表'!D13)),ABS('资产负债表'!E15-('资产负债表'!D15+'利润表'!E16+'现金流量表'!E13)))</x:f>
        <x:v>0</x:v>
      </x:c>
      <x:c r="C7" t="n">
        <x:v>0</x:v>
      </x:c>
      <x:c r="D7" t="n">
        <x:f>B7-C7</x:f>
        <x:v>0</x:v>
      </x:c>
      <x:c r="E7" t="n">
        <x:v>0.01</x:v>
      </x:c>
      <x:c r="F7" t="str">
        <x:f>IF(ABS(D7)&lt;=E7,"PASS","FAIL")</x:f>
        <x:v>PASS</x:v>
      </x:c>
    </x:row>
    <x:row r="8">
      <x:c r="A8" t="str">
        <x:v>预测收入公式完整</x:v>
      </x:c>
      <x:c r="B8" t="n">
        <x:f>COUNT('利润表'!D4:H4)</x:f>
        <x:v>5</x:v>
      </x:c>
      <x:c r="C8" t="n">
        <x:v>5</x:v>
      </x:c>
      <x:c r="D8" t="n">
        <x:f>B8-C8</x:f>
        <x:v>0</x:v>
      </x:c>
      <x:c r="E8" t="n">
        <x:v>0</x:v>
      </x:c>
      <x:c r="F8" t="str">
        <x:f>IF(ABS(D8)&lt;=E8,"PASS","FAIL")</x:f>
        <x:v>PASS</x:v>
      </x:c>
    </x:row>
    <x:row r="9">
      <x:c r="A9" s="32" t="str">
        <x:v>模型总状态</x:v>
      </x:c>
      <x:c r="B9" s="32"/>
      <x:c r="C9" s="32"/>
      <x:c r="D9" s="32"/>
      <x:c r="E9" s="32"/>
      <x:c r="F9" s="32" t="str">
        <x:f>IF(COUNTIF(F4:F8,"FAIL")=0,"PASS","FAIL")</x:f>
        <x:v>PASS</x:v>
      </x:c>
    </x:row>
  </x:sheetData>
  <x:mergeCells>
    <x:mergeCell ref="A1:H1"/>
    <x:mergeCell ref="A9:E9"/>
  </x:mergeCells>
  <x:pageMargins left="0.7" right="0.7" top="0.75" bottom="0.75" header="0.3" footer="0.3"/>
</x:worksheet>
</file>