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6ea3b01b834447a" /></Relationships>
</file>

<file path=xl/workbook.xml><?xml version="1.0" encoding="utf-8"?>
<x:workbook xmlns:x="http://schemas.openxmlformats.org/spreadsheetml/2006/main">
  <x:sheets>
    <x:sheet xmlns:r="http://schemas.openxmlformats.org/officeDocument/2006/relationships" name="封面" sheetId="1" r:id="Ra84a24c42e654592"/>
    <x:sheet xmlns:r="http://schemas.openxmlformats.org/officeDocument/2006/relationships" name="执行计划" sheetId="2" r:id="R90b96eb5929f4669"/>
    <x:sheet xmlns:r="http://schemas.openxmlformats.org/officeDocument/2006/relationships" name="数据来源" sheetId="3" r:id="Rec460ff8ba0949da"/>
    <x:sheet xmlns:r="http://schemas.openxmlformats.org/officeDocument/2006/relationships" name="股本与市值桥" sheetId="4" r:id="Rb7d24a47cd2047d1"/>
    <x:sheet xmlns:r="http://schemas.openxmlformats.org/officeDocument/2006/relationships" name="估值假设" sheetId="5" r:id="R090cbf9d2ece41b8"/>
    <x:sheet xmlns:r="http://schemas.openxmlformats.org/officeDocument/2006/relationships" name="经营预测" sheetId="6" r:id="Ra41e4acbcc7845f9"/>
    <x:sheet xmlns:r="http://schemas.openxmlformats.org/officeDocument/2006/relationships" name="DCF估值" sheetId="7" r:id="R3f88c9411be44306"/>
    <x:sheet xmlns:r="http://schemas.openxmlformats.org/officeDocument/2006/relationships" name="敏感性分析" sheetId="8" r:id="Rd575c998859d4f39"/>
    <x:sheet xmlns:r="http://schemas.openxmlformats.org/officeDocument/2006/relationships" name="模型检查" sheetId="9" r:id="R5cce087a24604350"/>
    <x:sheet xmlns:r="http://schemas.openxmlformats.org/officeDocument/2006/relationships" name="术语说明" sheetId="10" r:id="Rfc8aaefe8566420a"/>
  </x:sheets>
</x:workbook>
</file>

<file path=xl/sharedStrings.xml><?xml version="1.0" encoding="utf-8"?>
<x:sst xmlns:x="http://schemas.openxmlformats.org/spreadsheetml/2006/main"/>
</file>

<file path=xl/styles.xml><?xml version="1.0" encoding="utf-8"?>
<x:styleSheet xmlns:x="http://schemas.openxmlformats.org/spreadsheetml/2006/main">
  <x:numFmts count="8">
    <x:numFmt numFmtId="200" formatCode="yyyy-mm-dd"/>
    <x:numFmt numFmtId="201" formatCode="0.00;[Red](0.00);-"/>
    <x:numFmt numFmtId="202" formatCode="0.0%;[Red](0.0%);-"/>
    <x:numFmt numFmtId="203" formatCode="#,##0.0;[Red](#,##0.0);-"/>
    <x:numFmt numFmtId="204" formatCode="0.0000x"/>
    <x:numFmt numFmtId="205" formatCode="0.00x"/>
    <x:numFmt numFmtId="206" formatCode="0.000x"/>
    <x:numFmt numFmtId="207" formatCode="0.0000;[Red](0.0000);-"/>
  </x:numFmts>
  <x:fonts count="9">
    <x:font>
      <x:sz val="11"/>
      <x:name val="Carlito"/>
    </x:font>
    <x:font>
      <x:sz val="10"/>
      <x:name val="Arial"/>
    </x:font>
    <x:font>
      <x:b/>
      <x:sz val="16"/>
      <x:color rgb="FFFFFFFF"/>
      <x:name val="Arial"/>
    </x:font>
    <x:font>
      <x:sz val="11"/>
      <x:color rgb="FF008000"/>
      <x:name val="Carlito"/>
    </x:font>
    <x:font>
      <x:b/>
      <x:sz val="11"/>
      <x:color rgb="FFFFFFFF"/>
      <x:name val="Carlito"/>
    </x:font>
    <x:font>
      <x:b/>
      <x:sz val="11"/>
      <x:color rgb="FF000000"/>
      <x:name val="Carlito"/>
    </x:font>
    <x:font>
      <x:sz val="11"/>
      <x:color rgb="FF0000FF"/>
      <x:name val="Carlito"/>
    </x:font>
    <x:font>
      <x:sz val="11"/>
      <x:color rgb="FF000000"/>
      <x:name val="Carlito"/>
    </x:font>
    <x:font>
      <x:b/>
      <x:sz val="11"/>
      <x:color rgb="FF0000FF"/>
      <x:name val="Carlito"/>
    </x:font>
  </x:fonts>
  <x:fills count="7">
    <x:fill>
      <x:patternFill patternType="none"/>
    </x:fill>
    <x:fill>
      <x:patternFill patternType="gray125"/>
    </x:fill>
    <x:fill>
      <x:patternFill patternType="solid">
        <x:fgColor rgb="FF17365D"/>
      </x:patternFill>
    </x:fill>
    <x:fill>
      <x:patternFill patternType="solid">
        <x:fgColor rgb="FFF3F6FA"/>
      </x:patternFill>
    </x:fill>
    <x:fill>
      <x:patternFill patternType="solid">
        <x:fgColor rgb="FFF2F2F2"/>
      </x:patternFill>
    </x:fill>
    <x:fill>
      <x:patternFill patternType="solid">
        <x:fgColor rgb="FFD9EAF7"/>
      </x:patternFill>
    </x:fill>
    <x:fill>
      <x:patternFill patternType="solid">
        <x:fgColor rgb="FFFFF2CC"/>
      </x:patternFill>
    </x:fill>
  </x:fills>
  <x:borders count="38">
    <x:border/>
    <x:border>
      <x:left style="thin">
        <x:color rgb="FFBFBFBF"/>
      </x:left>
      <x:top style="thin">
        <x:color rgb="FFBFBFBF"/>
      </x:top>
    </x:border>
    <x:border>
      <x:top style="thin">
        <x:color rgb="FFBFBFBF"/>
      </x:top>
    </x:border>
    <x:border>
      <x:right style="thin">
        <x:color rgb="FFBFBFBF"/>
      </x:right>
      <x:top style="thin">
        <x:color rgb="FFBFBFBF"/>
      </x:top>
    </x:border>
    <x:border>
      <x:left style="thin">
        <x:color rgb="FFBFBFBF"/>
      </x:left>
    </x:border>
    <x:border>
      <x:right style="thin">
        <x:color rgb="FFBFBFBF"/>
      </x:right>
    </x:border>
    <x:border>
      <x:left style="thin">
        <x:color rgb="FFBFBFBF"/>
      </x:left>
      <x:bottom style="thin">
        <x:color rgb="FFBFBFBF"/>
      </x:bottom>
    </x:border>
    <x:border>
      <x:bottom style="thin">
        <x:color rgb="FFBFBFBF"/>
      </x:bottom>
    </x:border>
    <x:border>
      <x:right style="thin">
        <x:color rgb="FFBFBFBF"/>
      </x:right>
      <x:bottom style="thin">
        <x:color rgb="FFBFBFBF"/>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top style="thin">
        <x:color rgb="FFA6A6A6"/>
      </x:top>
      <x:bottom style="thin">
        <x:color rgb="FFA6A6A6"/>
      </x:bottom>
    </x:border>
    <x:border>
      <x:right style="thin">
        <x:color rgb="FFD9E1F2"/>
      </x:right>
      <x:bottom style="thin">
        <x:color rgb="FFD9E1F2"/>
      </x:bottom>
    </x:border>
    <x:border>
      <x:left style="thin">
        <x:color rgb="FFD9E1F2"/>
      </x:left>
      <x:right style="thin">
        <x:color rgb="FFD9E1F2"/>
      </x:right>
      <x:bottom style="thin">
        <x:color rgb="FFD9E1F2"/>
      </x:bottom>
    </x:border>
    <x:border>
      <x:left style="thin">
        <x:color rgb="FFD9E1F2"/>
      </x:left>
      <x:bottom style="thin">
        <x:color rgb="FFD9E1F2"/>
      </x:bottom>
    </x:border>
    <x:border>
      <x:right style="thin">
        <x:color rgb="FFD9E1F2"/>
      </x:right>
      <x:top style="thin">
        <x:color rgb="FFD9E1F2"/>
      </x:top>
      <x:bottom style="thin">
        <x:color rgb="FFD9E1F2"/>
      </x:bottom>
    </x:border>
    <x:border>
      <x:left style="thin">
        <x:color rgb="FFD9E1F2"/>
      </x:left>
      <x:right style="thin">
        <x:color rgb="FFD9E1F2"/>
      </x:right>
      <x:top style="thin">
        <x:color rgb="FFD9E1F2"/>
      </x:top>
      <x:bottom style="thin">
        <x:color rgb="FFD9E1F2"/>
      </x:bottom>
    </x:border>
    <x:border>
      <x:left style="thin">
        <x:color rgb="FFD9E1F2"/>
      </x:left>
      <x:top style="thin">
        <x:color rgb="FFD9E1F2"/>
      </x:top>
      <x:bottom style="thin">
        <x:color rgb="FFD9E1F2"/>
      </x:bottom>
    </x:border>
    <x:border>
      <x:right style="thin">
        <x:color rgb="FFD9E1F2"/>
      </x:right>
      <x:top style="thin">
        <x:color rgb="FFD9E1F2"/>
      </x:top>
    </x:border>
    <x:border>
      <x:left style="thin">
        <x:color rgb="FFD9E1F2"/>
      </x:left>
      <x:right style="thin">
        <x:color rgb="FFD9E1F2"/>
      </x:right>
      <x:top style="thin">
        <x:color rgb="FFD9E1F2"/>
      </x:top>
    </x:border>
    <x:border>
      <x:left style="thin">
        <x:color rgb="FFD9E1F2"/>
      </x:left>
      <x:top style="thin">
        <x:color rgb="FFD9E1F2"/>
      </x:top>
    </x:border>
    <x:border>
      <x:right style="thin">
        <x:color rgb="FFE7E6E6"/>
      </x:right>
      <x:bottom style="thin">
        <x:color rgb="FFE7E6E6"/>
      </x:bottom>
    </x:border>
    <x:border>
      <x:left style="thin">
        <x:color rgb="FFE7E6E6"/>
      </x:left>
      <x:right style="thin">
        <x:color rgb="FFE7E6E6"/>
      </x:right>
      <x:bottom style="thin">
        <x:color rgb="FFE7E6E6"/>
      </x:bottom>
    </x:border>
    <x:border>
      <x:left style="thin">
        <x:color rgb="FFE7E6E6"/>
      </x:left>
      <x:bottom style="thin">
        <x:color rgb="FFE7E6E6"/>
      </x:bottom>
    </x:border>
    <x:border>
      <x:right style="thin">
        <x:color rgb="FFE7E6E6"/>
      </x:right>
      <x:top style="thin">
        <x:color rgb="FFE7E6E6"/>
      </x:top>
      <x:bottom style="thin">
        <x:color rgb="FFE7E6E6"/>
      </x:bottom>
    </x:border>
    <x:border>
      <x:left style="thin">
        <x:color rgb="FFE7E6E6"/>
      </x:left>
      <x:right style="thin">
        <x:color rgb="FFE7E6E6"/>
      </x:right>
      <x:top style="thin">
        <x:color rgb="FFE7E6E6"/>
      </x:top>
      <x:bottom style="thin">
        <x:color rgb="FFE7E6E6"/>
      </x:bottom>
    </x:border>
    <x:border>
      <x:left style="thin">
        <x:color rgb="FFE7E6E6"/>
      </x:left>
      <x:top style="thin">
        <x:color rgb="FFE7E6E6"/>
      </x:top>
      <x:bottom style="thin">
        <x:color rgb="FFE7E6E6"/>
      </x:bottom>
    </x:border>
    <x:border>
      <x:right style="thin">
        <x:color rgb="FFE7E6E6"/>
      </x:right>
      <x:top style="thin">
        <x:color rgb="FFE7E6E6"/>
      </x:top>
    </x:border>
    <x:border>
      <x:left style="thin">
        <x:color rgb="FFE7E6E6"/>
      </x:left>
      <x:right style="thin">
        <x:color rgb="FFE7E6E6"/>
      </x:right>
      <x:top style="thin">
        <x:color rgb="FFE7E6E6"/>
      </x:top>
    </x:border>
    <x:border>
      <x:left style="thin">
        <x:color rgb="FFE7E6E6"/>
      </x:left>
      <x:top style="thin">
        <x:color rgb="FFE7E6E6"/>
      </x:top>
    </x:border>
    <x:border>
      <x:top style="double">
        <x:color rgb="FF000000"/>
      </x:top>
    </x:border>
    <x:border>
      <x:top style="thin">
        <x:color rgb="FF000000"/>
      </x:top>
      <x:bottom style="double">
        <x:color rgb="FF000000"/>
      </x:bottom>
    </x:border>
    <x:border>
      <x:top style="thin">
        <x:color rgb="FF000000"/>
      </x:top>
    </x:border>
    <x:border>
      <x:left style="medium">
        <x:color rgb="FF17365D"/>
      </x:left>
      <x:top style="medium">
        <x:color rgb="FF17365D"/>
      </x:top>
      <x:bottom style="medium">
        <x:color rgb="FF17365D"/>
      </x:bottom>
    </x:border>
    <x:border>
      <x:right style="medium">
        <x:color rgb="FF17365D"/>
      </x:right>
      <x:top style="medium">
        <x:color rgb="FF17365D"/>
      </x:top>
      <x:bottom style="medium">
        <x:color rgb="FF17365D"/>
      </x:bottom>
    </x:border>
    <x:border>
      <x:left style="thin">
        <x:color rgb="FFA6A6A6"/>
      </x:left>
      <x:right style="thin">
        <x:color rgb="FFA6A6A6"/>
      </x:right>
      <x:top style="thin">
        <x:color rgb="FFA6A6A6"/>
      </x:top>
    </x:border>
    <x:border>
      <x:left style="thin">
        <x:color rgb="FFA6A6A6"/>
      </x:left>
      <x:right style="thin">
        <x:color rgb="FFA6A6A6"/>
      </x:right>
    </x:border>
    <x:border>
      <x:left style="thin">
        <x:color rgb="FFA6A6A6"/>
      </x:left>
      <x:right style="thin">
        <x:color rgb="FFA6A6A6"/>
      </x:right>
      <x:bottom style="thin">
        <x:color rgb="FFA6A6A6"/>
      </x:bottom>
    </x:border>
  </x:borders>
  <x:cellStyleXfs count="1">
    <x:xf numFmtId="0" fontId="0" fillId="0" borderId="0"/>
  </x:cellStyleXfs>
  <x:cellXfs count="176">
    <x:xf numFmtId="0" fontId="0" fillId="0" borderId="0" xfId="0"/>
    <x:xf numFmtId="0" fontId="1" fillId="0" borderId="0" xfId="0" applyNumberFormat="1" applyFont="1" applyFill="1" applyBorder="1"/>
    <x:xf numFmtId="0" fontId="1" fillId="2" borderId="0" xfId="0" applyNumberFormat="1" applyFont="1" applyFill="1" applyBorder="1"/>
    <x:xf numFmtId="0" fontId="2" fillId="2" borderId="0" xfId="0" applyNumberFormat="1" applyFont="1" applyFill="1" applyBorder="1"/>
    <x:xf numFmtId="0" fontId="2" fillId="2" borderId="0" xfId="0" applyNumberFormat="1" applyFont="1" applyFill="1" applyBorder="1" applyAlignment="1">
      <x:alignment vertical="center"/>
    </x:xf>
    <x:xf numFmtId="0" fontId="3" fillId="0" borderId="0" xfId="0" applyNumberFormat="1" applyFont="1" applyFill="1" applyBorder="1"/>
    <x:xf numFmtId="200" fontId="3" fillId="0" borderId="0" xfId="0" applyNumberFormat="1" applyFont="1" applyFill="1" applyBorder="1"/>
    <x:xf numFmtId="0" fontId="0" fillId="2" borderId="0" xfId="0" applyNumberFormat="1" applyFont="1" applyFill="1" applyBorder="1"/>
    <x:xf numFmtId="0" fontId="4" fillId="2" borderId="0" xfId="0" applyNumberFormat="1" applyFont="1" applyFill="1" applyBorder="1"/>
    <x:xf numFmtId="0" fontId="4" fillId="2" borderId="0" xfId="0" applyNumberFormat="1" applyFont="1" applyFill="1" applyBorder="1" applyAlignment="1">
      <x:alignment horizontal="left"/>
    </x:xf>
    <x:xf numFmtId="201" fontId="3" fillId="0" borderId="0" xfId="0" applyNumberFormat="1" applyFont="1" applyFill="1" applyBorder="1"/>
    <x:xf numFmtId="202" fontId="3" fillId="0" borderId="0" xfId="0" applyNumberFormat="1" applyFont="1" applyFill="1" applyBorder="1"/>
    <x:xf numFmtId="201" fontId="3" fillId="3" borderId="0" xfId="0" applyNumberFormat="1" applyFont="1" applyFill="1" applyBorder="1"/>
    <x:xf numFmtId="0" fontId="3" fillId="3" borderId="0" xfId="0" applyNumberFormat="1" applyFont="1" applyFill="1" applyBorder="1"/>
    <x:xf numFmtId="202" fontId="3" fillId="3" borderId="0" xfId="0" applyNumberFormat="1" applyFont="1" applyFill="1" applyBorder="1"/>
    <x:xf numFmtId="0" fontId="0" fillId="4" borderId="0" xfId="0" applyNumberFormat="1" applyFont="1" applyFill="1" applyBorder="1"/>
    <x:xf numFmtId="0" fontId="0" fillId="4" borderId="1" xfId="0" applyNumberFormat="1" applyFont="1" applyFill="1" applyBorder="1"/>
    <x:xf numFmtId="0" fontId="0" fillId="4" borderId="2" xfId="0" applyNumberFormat="1" applyFont="1" applyFill="1" applyBorder="1"/>
    <x:xf numFmtId="0" fontId="0" fillId="4" borderId="3" xfId="0" applyNumberFormat="1" applyFont="1" applyFill="1" applyBorder="1"/>
    <x:xf numFmtId="0" fontId="0" fillId="4" borderId="4" xfId="0" applyNumberFormat="1" applyFont="1" applyFill="1" applyBorder="1"/>
    <x:xf numFmtId="0" fontId="0" fillId="4" borderId="5" xfId="0" applyNumberFormat="1" applyFont="1" applyFill="1" applyBorder="1"/>
    <x:xf numFmtId="0" fontId="0" fillId="4" borderId="6" xfId="0" applyNumberFormat="1" applyFont="1" applyFill="1" applyBorder="1"/>
    <x:xf numFmtId="0" fontId="0" fillId="4" borderId="7" xfId="0" applyNumberFormat="1" applyFont="1" applyFill="1" applyBorder="1"/>
    <x:xf numFmtId="0" fontId="0" fillId="4" borderId="8" xfId="0" applyNumberFormat="1" applyFont="1" applyFill="1" applyBorder="1"/>
    <x:xf numFmtId="0" fontId="0" fillId="4" borderId="1" xfId="0" applyNumberFormat="1" applyFont="1" applyFill="1" applyBorder="1" applyAlignment="1">
      <x:alignment wrapText="1"/>
    </x:xf>
    <x:xf numFmtId="0" fontId="0" fillId="4" borderId="2" xfId="0" applyNumberFormat="1" applyFont="1" applyFill="1" applyBorder="1" applyAlignment="1">
      <x:alignment wrapText="1"/>
    </x:xf>
    <x:xf numFmtId="0" fontId="0" fillId="4" borderId="3" xfId="0" applyNumberFormat="1" applyFont="1" applyFill="1" applyBorder="1" applyAlignment="1">
      <x:alignment wrapText="1"/>
    </x:xf>
    <x:xf numFmtId="0" fontId="0" fillId="4" borderId="4" xfId="0" applyNumberFormat="1" applyFont="1" applyFill="1" applyBorder="1" applyAlignment="1">
      <x:alignment wrapText="1"/>
    </x:xf>
    <x:xf numFmtId="0" fontId="0" fillId="4" borderId="0" xfId="0" applyNumberFormat="1" applyFont="1" applyFill="1" applyBorder="1" applyAlignment="1">
      <x:alignment wrapText="1"/>
    </x:xf>
    <x:xf numFmtId="0" fontId="0" fillId="4" borderId="5" xfId="0" applyNumberFormat="1" applyFont="1" applyFill="1" applyBorder="1" applyAlignment="1">
      <x:alignment wrapText="1"/>
    </x:xf>
    <x:xf numFmtId="0" fontId="0" fillId="4" borderId="6" xfId="0" applyNumberFormat="1" applyFont="1" applyFill="1" applyBorder="1" applyAlignment="1">
      <x:alignment wrapText="1"/>
    </x:xf>
    <x:xf numFmtId="0" fontId="0" fillId="4" borderId="7" xfId="0" applyNumberFormat="1" applyFont="1" applyFill="1" applyBorder="1" applyAlignment="1">
      <x:alignment wrapText="1"/>
    </x:xf>
    <x:xf numFmtId="0" fontId="0" fillId="4" borderId="8" xfId="0" applyNumberFormat="1" applyFont="1" applyFill="1" applyBorder="1" applyAlignment="1">
      <x:alignment wrapText="1"/>
    </x:xf>
    <x:xf numFmtId="0" fontId="0" fillId="4" borderId="1" xfId="0" applyNumberFormat="1" applyFont="1" applyFill="1" applyBorder="1" applyAlignment="1">
      <x:alignment vertical="top" wrapText="1"/>
    </x:xf>
    <x:xf numFmtId="0" fontId="0" fillId="4" borderId="2" xfId="0" applyNumberFormat="1" applyFont="1" applyFill="1" applyBorder="1" applyAlignment="1">
      <x:alignment vertical="top" wrapText="1"/>
    </x:xf>
    <x:xf numFmtId="0" fontId="0" fillId="4" borderId="3" xfId="0" applyNumberFormat="1" applyFont="1" applyFill="1" applyBorder="1" applyAlignment="1">
      <x:alignment vertical="top" wrapText="1"/>
    </x:xf>
    <x:xf numFmtId="0" fontId="0" fillId="4" borderId="4"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0" fillId="4" borderId="5" xfId="0" applyNumberFormat="1" applyFont="1" applyFill="1" applyBorder="1" applyAlignment="1">
      <x:alignment vertical="top" wrapText="1"/>
    </x:xf>
    <x:xf numFmtId="0" fontId="0" fillId="4" borderId="6" xfId="0" applyNumberFormat="1" applyFont="1" applyFill="1" applyBorder="1" applyAlignment="1">
      <x:alignment vertical="top" wrapText="1"/>
    </x:xf>
    <x:xf numFmtId="0" fontId="0" fillId="4" borderId="7" xfId="0" applyNumberFormat="1" applyFont="1" applyFill="1" applyBorder="1" applyAlignment="1">
      <x:alignment vertical="top" wrapText="1"/>
    </x:xf>
    <x:xf numFmtId="0" fontId="0" fillId="4" borderId="8" xfId="0" applyNumberFormat="1" applyFont="1" applyFill="1" applyBorder="1" applyAlignment="1">
      <x:alignment vertical="top" wrapText="1"/>
    </x:xf>
    <x:xf numFmtId="0" fontId="0" fillId="5" borderId="0" xfId="0" applyNumberFormat="1" applyFont="1" applyFill="1" applyBorder="1"/>
    <x:xf numFmtId="0" fontId="5" fillId="5" borderId="0" xfId="0" applyNumberFormat="1" applyFont="1" applyFill="1" applyBorder="1"/>
    <x:xf numFmtId="0" fontId="5" fillId="5" borderId="9" xfId="0" applyNumberFormat="1" applyFont="1" applyFill="1" applyBorder="1"/>
    <x:xf numFmtId="0" fontId="5" fillId="5" borderId="10" xfId="0" applyNumberFormat="1" applyFont="1" applyFill="1" applyBorder="1"/>
    <x:xf numFmtId="0" fontId="5" fillId="5" borderId="9" xfId="0" applyNumberFormat="1" applyFont="1" applyFill="1" applyBorder="1" applyAlignment="1">
      <x:alignment horizontal="center"/>
    </x:xf>
    <x:xf numFmtId="0" fontId="5" fillId="5" borderId="10" xfId="0" applyNumberFormat="1" applyFont="1" applyFill="1" applyBorder="1" applyAlignment="1">
      <x:alignment horizontal="center"/>
    </x:xf>
    <x:xf numFmtId="0" fontId="6" fillId="0" borderId="0" xfId="0" applyNumberFormat="1" applyFont="1" applyFill="1" applyBorder="1"/>
    <x:xf numFmtId="0" fontId="7" fillId="0" borderId="0" xfId="0" applyNumberFormat="1" applyFont="1" applyFill="1" applyBorder="1"/>
    <x:xf numFmtId="0" fontId="5" fillId="5" borderId="11" xfId="0" applyNumberFormat="1" applyFont="1" applyFill="1" applyBorder="1"/>
    <x:xf numFmtId="0" fontId="5" fillId="5" borderId="11" xfId="0" applyNumberFormat="1" applyFont="1" applyFill="1" applyBorder="1" applyAlignment="1">
      <x:alignment horizontal="center"/>
    </x:xf>
    <x:xf numFmtId="0" fontId="0" fillId="6" borderId="0" xfId="0" applyNumberFormat="1" applyFont="1" applyFill="1" applyBorder="1"/>
    <x:xf numFmtId="0" fontId="6" fillId="6" borderId="0" xfId="0" applyNumberFormat="1" applyFont="1" applyFill="1" applyBorder="1"/>
    <x:xf numFmtId="0" fontId="0" fillId="0" borderId="12" xfId="0" applyNumberFormat="1" applyFont="1" applyFill="1" applyBorder="1"/>
    <x:xf numFmtId="0" fontId="6" fillId="6" borderId="13" xfId="0" applyNumberFormat="1" applyFont="1" applyFill="1" applyBorder="1"/>
    <x:xf numFmtId="0" fontId="0" fillId="0" borderId="13" xfId="0" applyNumberFormat="1" applyFont="1" applyFill="1" applyBorder="1"/>
    <x:xf numFmtId="0" fontId="0" fillId="0" borderId="14" xfId="0" applyNumberFormat="1" applyFont="1" applyFill="1" applyBorder="1"/>
    <x:xf numFmtId="0" fontId="0" fillId="0" borderId="15" xfId="0" applyNumberFormat="1" applyFont="1" applyFill="1" applyBorder="1"/>
    <x:xf numFmtId="0" fontId="6" fillId="6" borderId="16" xfId="0" applyNumberFormat="1" applyFont="1" applyFill="1" applyBorder="1"/>
    <x:xf numFmtId="0" fontId="0" fillId="0" borderId="16" xfId="0" applyNumberFormat="1" applyFont="1" applyFill="1" applyBorder="1"/>
    <x:xf numFmtId="0" fontId="0" fillId="0" borderId="17" xfId="0" applyNumberFormat="1" applyFont="1" applyFill="1" applyBorder="1"/>
    <x:xf numFmtId="0" fontId="0" fillId="0" borderId="18" xfId="0" applyNumberFormat="1" applyFont="1" applyFill="1" applyBorder="1"/>
    <x:xf numFmtId="0" fontId="6" fillId="6" borderId="19" xfId="0" applyNumberFormat="1" applyFont="1" applyFill="1" applyBorder="1"/>
    <x:xf numFmtId="0" fontId="0" fillId="0" borderId="19" xfId="0" applyNumberFormat="1" applyFont="1" applyFill="1" applyBorder="1"/>
    <x:xf numFmtId="0" fontId="0" fillId="0" borderId="20" xfId="0" applyNumberFormat="1" applyFont="1" applyFill="1" applyBorder="1"/>
    <x:xf numFmtId="0" fontId="0" fillId="0" borderId="12" xfId="0" applyNumberFormat="1" applyFont="1" applyFill="1" applyBorder="1" applyAlignment="1">
      <x:alignment wrapText="1"/>
    </x:xf>
    <x:xf numFmtId="0" fontId="6" fillId="6" borderId="13" xfId="0" applyNumberFormat="1" applyFont="1" applyFill="1" applyBorder="1" applyAlignment="1">
      <x:alignment wrapText="1"/>
    </x:xf>
    <x:xf numFmtId="0" fontId="0" fillId="0" borderId="13" xfId="0" applyNumberFormat="1" applyFont="1" applyFill="1" applyBorder="1" applyAlignment="1">
      <x:alignment wrapText="1"/>
    </x:xf>
    <x:xf numFmtId="0" fontId="0" fillId="0" borderId="14" xfId="0" applyNumberFormat="1" applyFont="1" applyFill="1" applyBorder="1" applyAlignment="1">
      <x:alignment wrapText="1"/>
    </x:xf>
    <x:xf numFmtId="0" fontId="0" fillId="0" borderId="15" xfId="0" applyNumberFormat="1" applyFont="1" applyFill="1" applyBorder="1" applyAlignment="1">
      <x:alignment wrapText="1"/>
    </x:xf>
    <x:xf numFmtId="0" fontId="6" fillId="6" borderId="16" xfId="0" applyNumberFormat="1" applyFont="1" applyFill="1" applyBorder="1" applyAlignment="1">
      <x:alignment wrapText="1"/>
    </x:xf>
    <x:xf numFmtId="0" fontId="0" fillId="0" borderId="16" xfId="0" applyNumberFormat="1" applyFont="1" applyFill="1" applyBorder="1" applyAlignment="1">
      <x:alignment wrapText="1"/>
    </x:xf>
    <x:xf numFmtId="0" fontId="0" fillId="0" borderId="17" xfId="0" applyNumberFormat="1" applyFont="1" applyFill="1" applyBorder="1" applyAlignment="1">
      <x:alignment wrapText="1"/>
    </x:xf>
    <x:xf numFmtId="0" fontId="0" fillId="0" borderId="18" xfId="0" applyNumberFormat="1" applyFont="1" applyFill="1" applyBorder="1" applyAlignment="1">
      <x:alignment wrapText="1"/>
    </x:xf>
    <x:xf numFmtId="0" fontId="6" fillId="6" borderId="19" xfId="0" applyNumberFormat="1" applyFont="1" applyFill="1" applyBorder="1" applyAlignment="1">
      <x:alignment wrapText="1"/>
    </x:xf>
    <x:xf numFmtId="0" fontId="0" fillId="0" borderId="19" xfId="0" applyNumberFormat="1" applyFont="1" applyFill="1" applyBorder="1" applyAlignment="1">
      <x:alignment wrapText="1"/>
    </x:xf>
    <x:xf numFmtId="0" fontId="0" fillId="0" borderId="20" xfId="0" applyNumberFormat="1" applyFont="1" applyFill="1" applyBorder="1" applyAlignment="1">
      <x:alignment wrapText="1"/>
    </x:xf>
    <x:xf numFmtId="0" fontId="0" fillId="0" borderId="12" xfId="0" applyNumberFormat="1" applyFont="1" applyFill="1" applyBorder="1" applyAlignment="1">
      <x:alignment vertical="top" wrapText="1"/>
    </x:xf>
    <x:xf numFmtId="0" fontId="6" fillId="6" borderId="13" xfId="0" applyNumberFormat="1" applyFont="1" applyFill="1" applyBorder="1" applyAlignment="1">
      <x:alignment vertical="top" wrapText="1"/>
    </x:xf>
    <x:xf numFmtId="0" fontId="0" fillId="0" borderId="13" xfId="0" applyNumberFormat="1" applyFont="1" applyFill="1" applyBorder="1" applyAlignment="1">
      <x:alignment vertical="top" wrapText="1"/>
    </x:xf>
    <x:xf numFmtId="0" fontId="0" fillId="0" borderId="14" xfId="0" applyNumberFormat="1" applyFont="1" applyFill="1" applyBorder="1" applyAlignment="1">
      <x:alignment vertical="top" wrapText="1"/>
    </x:xf>
    <x:xf numFmtId="0" fontId="0" fillId="0" borderId="15" xfId="0" applyNumberFormat="1" applyFont="1" applyFill="1" applyBorder="1" applyAlignment="1">
      <x:alignment vertical="top" wrapText="1"/>
    </x:xf>
    <x:xf numFmtId="0" fontId="6" fillId="6" borderId="16" xfId="0" applyNumberFormat="1" applyFont="1" applyFill="1" applyBorder="1" applyAlignment="1">
      <x:alignment vertical="top" wrapText="1"/>
    </x:xf>
    <x:xf numFmtId="0" fontId="0" fillId="0" borderId="16" xfId="0" applyNumberFormat="1" applyFont="1" applyFill="1" applyBorder="1" applyAlignment="1">
      <x:alignment vertical="top" wrapText="1"/>
    </x:xf>
    <x:xf numFmtId="0" fontId="0" fillId="0" borderId="17" xfId="0" applyNumberFormat="1" applyFont="1" applyFill="1" applyBorder="1" applyAlignment="1">
      <x:alignment vertical="top" wrapText="1"/>
    </x:xf>
    <x:xf numFmtId="0" fontId="0" fillId="0" borderId="18" xfId="0" applyNumberFormat="1" applyFont="1" applyFill="1" applyBorder="1" applyAlignment="1">
      <x:alignment vertical="top" wrapText="1"/>
    </x:xf>
    <x:xf numFmtId="0" fontId="6" fillId="6" borderId="19" xfId="0" applyNumberFormat="1" applyFont="1" applyFill="1" applyBorder="1" applyAlignment="1">
      <x:alignment vertical="top" wrapText="1"/>
    </x:xf>
    <x:xf numFmtId="0" fontId="0" fillId="0" borderId="19" xfId="0" applyNumberFormat="1" applyFont="1" applyFill="1" applyBorder="1" applyAlignment="1">
      <x:alignment vertical="top" wrapText="1"/>
    </x:xf>
    <x:xf numFmtId="0" fontId="0" fillId="0" borderId="20" xfId="0" applyNumberFormat="1" applyFont="1" applyFill="1" applyBorder="1" applyAlignment="1">
      <x:alignment vertical="top" wrapText="1"/>
    </x:xf>
    <x:xf numFmtId="200" fontId="0" fillId="0" borderId="0" xfId="0" applyNumberFormat="1" applyFont="1" applyFill="1" applyBorder="1"/>
    <x:xf numFmtId="0" fontId="0" fillId="0" borderId="21" xfId="0" applyNumberFormat="1" applyFont="1" applyFill="1" applyBorder="1"/>
    <x:xf numFmtId="0" fontId="0" fillId="0" borderId="22" xfId="0" applyNumberFormat="1" applyFont="1" applyFill="1" applyBorder="1"/>
    <x:xf numFmtId="200" fontId="0" fillId="0" borderId="22" xfId="0" applyNumberFormat="1" applyFont="1" applyFill="1" applyBorder="1"/>
    <x:xf numFmtId="0" fontId="0" fillId="0" borderId="23" xfId="0" applyNumberFormat="1" applyFont="1" applyFill="1" applyBorder="1"/>
    <x:xf numFmtId="0" fontId="0" fillId="0" borderId="24" xfId="0" applyNumberFormat="1" applyFont="1" applyFill="1" applyBorder="1"/>
    <x:xf numFmtId="0" fontId="0" fillId="0" borderId="25" xfId="0" applyNumberFormat="1" applyFont="1" applyFill="1" applyBorder="1"/>
    <x:xf numFmtId="200" fontId="0" fillId="0" borderId="25" xfId="0" applyNumberFormat="1" applyFont="1" applyFill="1" applyBorder="1"/>
    <x:xf numFmtId="0" fontId="0" fillId="0" borderId="26" xfId="0" applyNumberFormat="1" applyFont="1" applyFill="1" applyBorder="1"/>
    <x:xf numFmtId="0" fontId="0" fillId="0" borderId="27" xfId="0" applyNumberFormat="1" applyFont="1" applyFill="1" applyBorder="1"/>
    <x:xf numFmtId="0" fontId="0" fillId="0" borderId="28" xfId="0" applyNumberFormat="1" applyFont="1" applyFill="1" applyBorder="1"/>
    <x:xf numFmtId="200" fontId="0" fillId="0" borderId="28" xfId="0" applyNumberFormat="1" applyFont="1" applyFill="1" applyBorder="1"/>
    <x:xf numFmtId="0" fontId="0" fillId="0" borderId="29" xfId="0" applyNumberFormat="1" applyFont="1" applyFill="1" applyBorder="1"/>
    <x:xf numFmtId="0" fontId="0" fillId="0" borderId="21" xfId="0" applyNumberFormat="1" applyFont="1" applyFill="1" applyBorder="1" applyAlignment="1">
      <x:alignment wrapText="1"/>
    </x:xf>
    <x:xf numFmtId="0" fontId="0" fillId="0" borderId="22" xfId="0" applyNumberFormat="1" applyFont="1" applyFill="1" applyBorder="1" applyAlignment="1">
      <x:alignment wrapText="1"/>
    </x:xf>
    <x:xf numFmtId="200" fontId="0" fillId="0" borderId="22" xfId="0" applyNumberFormat="1" applyFont="1" applyFill="1" applyBorder="1" applyAlignment="1">
      <x:alignment wrapText="1"/>
    </x:xf>
    <x:xf numFmtId="0" fontId="0" fillId="0" borderId="23" xfId="0" applyNumberFormat="1" applyFont="1" applyFill="1" applyBorder="1" applyAlignment="1">
      <x:alignment wrapText="1"/>
    </x:xf>
    <x:xf numFmtId="0" fontId="0" fillId="0" borderId="24" xfId="0" applyNumberFormat="1" applyFont="1" applyFill="1" applyBorder="1" applyAlignment="1">
      <x:alignment wrapText="1"/>
    </x:xf>
    <x:xf numFmtId="0" fontId="0" fillId="0" borderId="25" xfId="0" applyNumberFormat="1" applyFont="1" applyFill="1" applyBorder="1" applyAlignment="1">
      <x:alignment wrapText="1"/>
    </x:xf>
    <x:xf numFmtId="200" fontId="0" fillId="0" borderId="25" xfId="0" applyNumberFormat="1" applyFont="1" applyFill="1" applyBorder="1" applyAlignment="1">
      <x:alignment wrapText="1"/>
    </x:xf>
    <x:xf numFmtId="0" fontId="0" fillId="0" borderId="26" xfId="0" applyNumberFormat="1" applyFont="1" applyFill="1" applyBorder="1" applyAlignment="1">
      <x:alignment wrapText="1"/>
    </x:xf>
    <x:xf numFmtId="0" fontId="0" fillId="0" borderId="27" xfId="0" applyNumberFormat="1" applyFont="1" applyFill="1" applyBorder="1" applyAlignment="1">
      <x:alignment wrapText="1"/>
    </x:xf>
    <x:xf numFmtId="0" fontId="0" fillId="0" borderId="28" xfId="0" applyNumberFormat="1" applyFont="1" applyFill="1" applyBorder="1" applyAlignment="1">
      <x:alignment wrapText="1"/>
    </x:xf>
    <x:xf numFmtId="200" fontId="0" fillId="0" borderId="28" xfId="0" applyNumberFormat="1" applyFont="1" applyFill="1" applyBorder="1" applyAlignment="1">
      <x:alignment wrapText="1"/>
    </x:xf>
    <x:xf numFmtId="0" fontId="0" fillId="0" borderId="29" xfId="0" applyNumberFormat="1" applyFont="1" applyFill="1" applyBorder="1" applyAlignment="1">
      <x:alignment wrapText="1"/>
    </x:xf>
    <x:xf numFmtId="0" fontId="3" fillId="6" borderId="0" xfId="0" applyNumberFormat="1" applyFont="1" applyFill="1" applyBorder="1"/>
    <x:xf numFmtId="200" fontId="6" fillId="6" borderId="0" xfId="0" applyNumberFormat="1" applyFont="1" applyFill="1" applyBorder="1"/>
    <x:xf numFmtId="203" fontId="6" fillId="6" borderId="0" xfId="0" applyNumberFormat="1" applyFont="1" applyFill="1" applyBorder="1"/>
    <x:xf numFmtId="203" fontId="7" fillId="0" borderId="0" xfId="0" applyNumberFormat="1" applyFont="1" applyFill="1" applyBorder="1"/>
    <x:xf numFmtId="202" fontId="7" fillId="0" borderId="0" xfId="0" applyNumberFormat="1" applyFont="1" applyFill="1" applyBorder="1"/>
    <x:xf numFmtId="201" fontId="6" fillId="6" borderId="0" xfId="0" applyNumberFormat="1" applyFont="1" applyFill="1" applyBorder="1"/>
    <x:xf numFmtId="204" fontId="6" fillId="6" borderId="0" xfId="0" applyNumberFormat="1" applyFont="1" applyFill="1" applyBorder="1"/>
    <x:xf numFmtId="0" fontId="5" fillId="0" borderId="0" xfId="0" applyNumberFormat="1" applyFont="1" applyFill="1" applyBorder="1"/>
    <x:xf numFmtId="203" fontId="5" fillId="0" borderId="0" xfId="0" applyNumberFormat="1" applyFont="1" applyFill="1" applyBorder="1"/>
    <x:xf numFmtId="202" fontId="5" fillId="0" borderId="0" xfId="0" applyNumberFormat="1" applyFont="1" applyFill="1" applyBorder="1"/>
    <x:xf numFmtId="0" fontId="5" fillId="0" borderId="30" xfId="0" applyNumberFormat="1" applyFont="1" applyFill="1" applyBorder="1"/>
    <x:xf numFmtId="203" fontId="5" fillId="0" borderId="30" xfId="0" applyNumberFormat="1" applyFont="1" applyFill="1" applyBorder="1"/>
    <x:xf numFmtId="202" fontId="5" fillId="0" borderId="30" xfId="0" applyNumberFormat="1" applyFont="1" applyFill="1" applyBorder="1"/>
    <x:xf numFmtId="202" fontId="6" fillId="6" borderId="0" xfId="0" applyNumberFormat="1" applyFont="1" applyFill="1" applyBorder="1"/>
    <x:xf numFmtId="205" fontId="6" fillId="6" borderId="0" xfId="0" applyNumberFormat="1" applyFont="1" applyFill="1" applyBorder="1"/>
    <x:xf numFmtId="206" fontId="6" fillId="6" borderId="0" xfId="0" applyNumberFormat="1" applyFont="1" applyFill="1" applyBorder="1"/>
    <x:xf numFmtId="203" fontId="3" fillId="6" borderId="0" xfId="0" applyNumberFormat="1" applyFont="1" applyFill="1" applyBorder="1"/>
    <x:xf numFmtId="203" fontId="0" fillId="0" borderId="0" xfId="0" applyNumberFormat="1" applyFont="1" applyFill="1" applyBorder="1"/>
    <x:xf numFmtId="202" fontId="0" fillId="0" borderId="0" xfId="0" applyNumberFormat="1" applyFont="1" applyFill="1" applyBorder="1"/>
    <x:xf numFmtId="203" fontId="3" fillId="0" borderId="0" xfId="0" applyNumberFormat="1" applyFont="1" applyFill="1" applyBorder="1"/>
    <x:xf numFmtId="0" fontId="0" fillId="0" borderId="31" xfId="0" applyNumberFormat="1" applyFont="1" applyFill="1" applyBorder="1"/>
    <x:xf numFmtId="203" fontId="7" fillId="0" borderId="31" xfId="0" applyNumberFormat="1" applyFont="1" applyFill="1" applyBorder="1"/>
    <x:xf numFmtId="203" fontId="3" fillId="0" borderId="31" xfId="0" applyNumberFormat="1" applyFont="1" applyFill="1" applyBorder="1"/>
    <x:xf numFmtId="0" fontId="5" fillId="0" borderId="31" xfId="0" applyNumberFormat="1" applyFont="1" applyFill="1" applyBorder="1"/>
    <x:xf numFmtId="203" fontId="5" fillId="0" borderId="31" xfId="0" applyNumberFormat="1" applyFont="1" applyFill="1" applyBorder="1"/>
    <x:xf numFmtId="206" fontId="0" fillId="0" borderId="0" xfId="0" applyNumberFormat="1" applyFont="1" applyFill="1" applyBorder="1"/>
    <x:xf numFmtId="201" fontId="0" fillId="0" borderId="0" xfId="0" applyNumberFormat="1" applyFont="1" applyFill="1" applyBorder="1"/>
    <x:xf numFmtId="206" fontId="3" fillId="0" borderId="0" xfId="0" applyNumberFormat="1" applyFont="1" applyFill="1" applyBorder="1"/>
    <x:xf numFmtId="0" fontId="0" fillId="0" borderId="30" xfId="0" applyNumberFormat="1" applyFont="1" applyFill="1" applyBorder="1"/>
    <x:xf numFmtId="203" fontId="3" fillId="0" borderId="30" xfId="0" applyNumberFormat="1" applyFont="1" applyFill="1" applyBorder="1"/>
    <x:xf numFmtId="0" fontId="0" fillId="0" borderId="32" xfId="0" applyNumberFormat="1" applyFont="1" applyFill="1" applyBorder="1"/>
    <x:xf numFmtId="203" fontId="3" fillId="0" borderId="32" xfId="0" applyNumberFormat="1" applyFont="1" applyFill="1" applyBorder="1"/>
    <x:xf numFmtId="201" fontId="3" fillId="5" borderId="0" xfId="0" applyNumberFormat="1" applyFont="1" applyFill="1" applyBorder="1"/>
    <x:xf numFmtId="201" fontId="5" fillId="5" borderId="0" xfId="0" applyNumberFormat="1" applyFont="1" applyFill="1" applyBorder="1"/>
    <x:xf numFmtId="0" fontId="5" fillId="5" borderId="33" xfId="0" applyNumberFormat="1" applyFont="1" applyFill="1" applyBorder="1"/>
    <x:xf numFmtId="201" fontId="5" fillId="5" borderId="34" xfId="0" applyNumberFormat="1" applyFont="1" applyFill="1" applyBorder="1"/>
    <x:xf numFmtId="0" fontId="5" fillId="5" borderId="35" xfId="0" applyNumberFormat="1" applyFont="1" applyFill="1" applyBorder="1"/>
    <x:xf numFmtId="0" fontId="5" fillId="5" borderId="36" xfId="0" applyNumberFormat="1" applyFont="1" applyFill="1" applyBorder="1"/>
    <x:xf numFmtId="0" fontId="5" fillId="5" borderId="37" xfId="0" applyNumberFormat="1" applyFont="1" applyFill="1" applyBorder="1"/>
    <x:xf numFmtId="0" fontId="5" fillId="5" borderId="35" xfId="0" applyNumberFormat="1" applyFont="1" applyFill="1" applyBorder="1" applyAlignment="1">
      <x:alignment horizontal="center"/>
    </x:xf>
    <x:xf numFmtId="0" fontId="5" fillId="5" borderId="36" xfId="0" applyNumberFormat="1" applyFont="1" applyFill="1" applyBorder="1" applyAlignment="1">
      <x:alignment horizontal="center"/>
    </x:xf>
    <x:xf numFmtId="0" fontId="5" fillId="5" borderId="37" xfId="0" applyNumberFormat="1" applyFont="1" applyFill="1" applyBorder="1" applyAlignment="1">
      <x:alignment horizontal="center"/>
    </x:xf>
    <x:xf numFmtId="202" fontId="5" fillId="5" borderId="11" xfId="0" applyNumberFormat="1" applyFont="1" applyFill="1" applyBorder="1" applyAlignment="1">
      <x:alignment horizontal="center"/>
    </x:xf>
    <x:xf numFmtId="202" fontId="5" fillId="5" borderId="10" xfId="0" applyNumberFormat="1" applyFont="1" applyFill="1" applyBorder="1" applyAlignment="1">
      <x:alignment horizontal="center"/>
    </x:xf>
    <x:xf numFmtId="202" fontId="5" fillId="5" borderId="35" xfId="0" applyNumberFormat="1" applyFont="1" applyFill="1" applyBorder="1" applyAlignment="1">
      <x:alignment horizontal="center"/>
    </x:xf>
    <x:xf numFmtId="202" fontId="5" fillId="5" borderId="36" xfId="0" applyNumberFormat="1" applyFont="1" applyFill="1" applyBorder="1" applyAlignment="1">
      <x:alignment horizontal="center"/>
    </x:xf>
    <x:xf numFmtId="202" fontId="5" fillId="5" borderId="37" xfId="0" applyNumberFormat="1" applyFont="1" applyFill="1" applyBorder="1" applyAlignment="1">
      <x:alignment horizontal="center"/>
    </x:xf>
    <x:xf numFmtId="203" fontId="0" fillId="0" borderId="31" xfId="0" applyNumberFormat="1" applyFont="1" applyFill="1" applyBorder="1"/>
    <x:xf numFmtId="0" fontId="8" fillId="6" borderId="0" xfId="0" applyNumberFormat="1" applyFont="1" applyFill="1" applyBorder="1"/>
    <x:xf numFmtId="207" fontId="0" fillId="0" borderId="0" xfId="0" applyNumberFormat="1" applyFont="1" applyFill="1" applyBorder="1"/>
    <x:xf numFmtId="0" fontId="5" fillId="6" borderId="0" xfId="0" applyNumberFormat="1" applyFont="1" applyFill="1" applyBorder="1"/>
    <x:xf numFmtId="207" fontId="7" fillId="0" borderId="0" xfId="0" applyNumberFormat="1" applyFont="1" applyFill="1" applyBorder="1"/>
    <x:xf numFmtId="0" fontId="0" fillId="0" borderId="21" xfId="0" applyNumberFormat="1" applyFont="1" applyFill="1" applyBorder="1" applyAlignment="1">
      <x:alignment vertical="top" wrapText="1"/>
    </x:xf>
    <x:xf numFmtId="0" fontId="0" fillId="0" borderId="22" xfId="0" applyNumberFormat="1" applyFont="1" applyFill="1" applyBorder="1" applyAlignment="1">
      <x:alignment vertical="top" wrapText="1"/>
    </x:xf>
    <x:xf numFmtId="0" fontId="0" fillId="0" borderId="23" xfId="0" applyNumberFormat="1" applyFont="1" applyFill="1" applyBorder="1" applyAlignment="1">
      <x:alignment vertical="top" wrapText="1"/>
    </x:xf>
    <x:xf numFmtId="0" fontId="0" fillId="0" borderId="24" xfId="0" applyNumberFormat="1" applyFont="1" applyFill="1" applyBorder="1" applyAlignment="1">
      <x:alignment vertical="top" wrapText="1"/>
    </x:xf>
    <x:xf numFmtId="0" fontId="0" fillId="0" borderId="25" xfId="0" applyNumberFormat="1" applyFont="1" applyFill="1" applyBorder="1" applyAlignment="1">
      <x:alignment vertical="top" wrapText="1"/>
    </x:xf>
    <x:xf numFmtId="0" fontId="0" fillId="0" borderId="26" xfId="0" applyNumberFormat="1" applyFont="1" applyFill="1" applyBorder="1" applyAlignment="1">
      <x:alignment vertical="top" wrapText="1"/>
    </x:xf>
    <x:xf numFmtId="0" fontId="0" fillId="0" borderId="27" xfId="0" applyNumberFormat="1" applyFont="1" applyFill="1" applyBorder="1" applyAlignment="1">
      <x:alignment vertical="top" wrapText="1"/>
    </x:xf>
    <x:xf numFmtId="0" fontId="0" fillId="0" borderId="28" xfId="0" applyNumberFormat="1" applyFont="1" applyFill="1" applyBorder="1" applyAlignment="1">
      <x:alignment vertical="top" wrapText="1"/>
    </x:xf>
    <x:xf numFmtId="0" fontId="0" fillId="0" borderId="29" xfId="0" applyNumberFormat="1" applyFont="1" applyFill="1" applyBorder="1" applyAlignment="1">
      <x:alignment vertical="top" wrapText="1"/>
    </x:xf>
  </x:cellXfs>
  <x:cellStyles count="1">
    <x:cellStyle name="Normal" xfId="0"/>
  </x:cellStyles>
  <x:dxfs count="10">
    <x:dxf>
      <x:font>
        <x:b/>
        <x:color rgb="FF006100"/>
      </x:font>
      <x:fill>
        <x:patternFill patternType="solid">
          <x:bgColor rgb="FFE2F0D9"/>
        </x:patternFill>
      </x:fill>
    </x:dxf>
    <x:dxf>
      <x:font>
        <x:b/>
        <x:color rgb="FF9C6500"/>
      </x:font>
      <x:fill>
        <x:patternFill patternType="solid">
          <x:bgColor rgb="FFFFF2CC"/>
        </x:patternFill>
      </x:fill>
    </x:dxf>
    <x:dxf>
      <x:font>
        <x:b/>
        <x:color rgb="FF9C0006"/>
      </x:font>
      <x:fill>
        <x:patternFill patternType="solid">
          <x:bgColor rgb="FFFCE4D6"/>
        </x:patternFill>
      </x:fill>
    </x:dxf>
    <x:dxf>
      <x:font>
        <x:b/>
        <x:color rgb="FF006100"/>
      </x:font>
      <x:fill>
        <x:patternFill patternType="solid">
          <x:bgColor rgb="FFE2F0D9"/>
        </x:patternFill>
      </x:fill>
    </x:dxf>
    <x:dxf>
      <x:font>
        <x:b/>
        <x:color rgb="FF9C6500"/>
      </x:font>
      <x:fill>
        <x:patternFill patternType="solid">
          <x:bgColor rgb="FFFFF2CC"/>
        </x:patternFill>
      </x:fill>
    </x:dxf>
    <x:dxf>
      <x:font>
        <x:b/>
        <x:color rgb="FF9C6500"/>
      </x:font>
      <x:fill>
        <x:patternFill patternType="solid">
          <x:bgColor rgb="FFFFF2CC"/>
        </x:patternFill>
      </x:fill>
    </x:dxf>
    <x:dxf>
      <x:font>
        <x:b/>
        <x:color rgb="FF9C0006"/>
      </x:font>
      <x:fill>
        <x:patternFill patternType="solid">
          <x:bgColor rgb="FFFCE4D6"/>
        </x:patternFill>
      </x:fill>
    </x:dxf>
    <x:dxf>
      <x:font>
        <x:b/>
        <x:color rgb="FF006100"/>
      </x:font>
      <x:fill>
        <x:patternFill patternType="solid">
          <x:bgColor rgb="FFE2F0D9"/>
        </x:patternFill>
      </x:fill>
    </x:dxf>
    <x:dxf>
      <x:font>
        <x:b/>
        <x:color rgb="FF9C6500"/>
      </x:font>
      <x:fill>
        <x:patternFill patternType="solid">
          <x:bgColor rgb="FFFFF2CC"/>
        </x:patternFill>
      </x:fill>
    </x:dxf>
    <x:dxf>
      <x:font>
        <x:b/>
        <x:color rgb="FF9C0006"/>
      </x:font>
      <x:fill>
        <x:patternFill patternType="solid">
          <x:bgColor rgb="FFFCE4D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699d835ee3b34c94" /><Relationship Type="http://schemas.openxmlformats.org/officeDocument/2006/relationships/theme" Target="/xl/theme/theme1.xml" Id="R434074f953b24edc" /><Relationship Type="http://schemas.openxmlformats.org/officeDocument/2006/relationships/sharedStrings" Target="/xl/sharedStrings.xml" Id="R6bbfcfa148704a4c" /><Relationship Type="http://schemas.openxmlformats.org/officeDocument/2006/relationships/worksheet" Target="/xl/worksheets/sheet1.xml" Id="Ra84a24c42e654592" /><Relationship Type="http://schemas.openxmlformats.org/officeDocument/2006/relationships/worksheet" Target="/xl/worksheets/sheet2.xml" Id="R90b96eb5929f4669" /><Relationship Type="http://schemas.openxmlformats.org/officeDocument/2006/relationships/worksheet" Target="/xl/worksheets/sheet3.xml" Id="Rec460ff8ba0949da" /><Relationship Type="http://schemas.openxmlformats.org/officeDocument/2006/relationships/worksheet" Target="/xl/worksheets/sheet4.xml" Id="Rb7d24a47cd2047d1" /><Relationship Type="http://schemas.openxmlformats.org/officeDocument/2006/relationships/worksheet" Target="/xl/worksheets/sheet5.xml" Id="R090cbf9d2ece41b8" /><Relationship Type="http://schemas.openxmlformats.org/officeDocument/2006/relationships/worksheet" Target="/xl/worksheets/sheet6.xml" Id="Ra41e4acbcc7845f9" /><Relationship Type="http://schemas.openxmlformats.org/officeDocument/2006/relationships/worksheet" Target="/xl/worksheets/sheet7.xml" Id="R3f88c9411be44306" /><Relationship Type="http://schemas.openxmlformats.org/officeDocument/2006/relationships/worksheet" Target="/xl/worksheets/sheet8.xml" Id="Rd575c998859d4f39" /><Relationship Type="http://schemas.openxmlformats.org/officeDocument/2006/relationships/worksheet" Target="/xl/worksheets/sheet9.xml" Id="R5cce087a24604350" /><Relationship Type="http://schemas.openxmlformats.org/officeDocument/2006/relationships/worksheet" Target="/xl/worksheets/sheet10.xml" Id="Rfc8aaefe8566420a"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18" hidden="0" customWidth="1"/>
    <x:col min="3" max="3" width="24" hidden="0" customWidth="1"/>
    <x:col min="4" max="4" width="18" hidden="0" customWidth="1"/>
    <x:col min="5" max="5" width="14" hidden="0" customWidth="1"/>
    <x:col min="6" max="6" width="14" hidden="0" customWidth="1"/>
    <x:col min="7" max="7" width="14" hidden="0" customWidth="1"/>
    <x:col min="8" max="8" width="14" hidden="0" customWidth="1"/>
  </x:cols>
  <x:sheetData>
    <x:row r="1" ht="28" customHeight="1">
      <x:c r="A1" s="4" t="str">
        <x:v>上市公司现金流折现（DCF）估值模型</x:v>
      </x:c>
    </x:row>
    <x:row r="3">
      <x:c r="A3" t="str">
        <x:v>公司</x:v>
      </x:c>
      <x:c r="B3" s="5" t="str">
        <x:f>'估值假设'!B3</x:f>
        <x:v>示例非金融公司</x:v>
      </x:c>
    </x:row>
    <x:row r="4">
      <x:c r="A4" t="str">
        <x:v>证券代码</x:v>
      </x:c>
      <x:c r="B4" s="5" t="str">
        <x:f>'估值假设'!B4</x:f>
        <x:v>DEMO</x:v>
      </x:c>
    </x:row>
    <x:row r="5">
      <x:c r="A5" t="str">
        <x:v>估值基准日</x:v>
      </x:c>
      <x:c r="B5" s="6" t="n">
        <x:f>'估值假设'!B6</x:f>
        <x:v>46203</x:v>
      </x:c>
    </x:row>
    <x:row r="6">
      <x:c r="A6" t="str">
        <x:v>币种/单位</x:v>
      </x:c>
      <x:c r="B6" s="5" t="str">
        <x:f>'估值假设'!B7&amp;" / "&amp;'估值假设'!B8</x:f>
        <x:v>人民币（CNY） / 百万元</x:v>
      </x:c>
    </x:row>
    <x:row r="7">
      <x:c r="A7" t="str">
        <x:v>当前场景</x:v>
      </x:c>
      <x:c r="B7" s="5" t="str">
        <x:f>'估值假设'!B5</x:f>
        <x:v>基准</x:v>
      </x:c>
    </x:row>
    <x:row r="9">
      <x:c r="A9" s="9" t="str">
        <x:v>关键估值输出</x:v>
      </x:c>
    </x:row>
    <x:row r="11">
      <x:c r="A11" t="str">
        <x:v>基准每股价值</x:v>
      </x:c>
      <x:c r="B11" s="12" t="str">
        <x:f>IF(B13="PASS",'DCF估值'!B28,"已阻断")</x:f>
        <x:v>已阻断</x:v>
      </x:c>
      <x:c r="C11" s="12" t="str">
        <x:v>当前股价</x:v>
      </x:c>
      <x:c r="D11" s="12" t="n">
        <x:f>'估值假设'!B9</x:f>
        <x:v>25</x:v>
      </x:c>
      <x:c r="E11" s="13"/>
      <x:c r="F11" s="13"/>
    </x:row>
    <x:row r="12">
      <x:c r="A12" t="str">
        <x:v>隐含上涨/下跌空间</x:v>
      </x:c>
      <x:c r="B12" s="14" t="str">
        <x:f>IF(B13="PASS",B11/D11-1,"已阻断")</x:f>
        <x:v>已阻断</x:v>
      </x:c>
      <x:c r="C12" s="14" t="str">
        <x:v>终值占企业价值</x:v>
      </x:c>
      <x:c r="D12" s="14" t="n">
        <x:f>'DCF估值'!B19</x:f>
        <x:v>0.825015631917114</x:v>
      </x:c>
      <x:c r="E12" s="13"/>
      <x:c r="F12" s="13"/>
    </x:row>
    <x:row r="13">
      <x:c r="A13" t="str">
        <x:v>模型状态</x:v>
      </x:c>
      <x:c r="B13" s="13" t="str">
        <x:f>'模型检查'!B3</x:f>
        <x:v>INCOMPLETE</x:v>
      </x:c>
      <x:c r="C13" s="13" t="str">
        <x:v>加权平均资本成本（WACC）</x:v>
      </x:c>
      <x:c r="D13" s="14" t="n">
        <x:f>'DCF估值'!B5</x:f>
        <x:v>0.07220000000000001</x:v>
      </x:c>
      <x:c r="E13" s="14" t="str">
        <x:v>永续增长率（g）</x:v>
      </x:c>
      <x:c r="F13" s="14" t="n">
        <x:f>'DCF估值'!B6</x:f>
        <x:v>0.025</x:v>
      </x:c>
    </x:row>
    <x:row r="15">
      <x:c r="A15" s="33" t="str">
        <x:v>使用说明：蓝字黄底为可编辑假设；绿字为同工作簿链接；黑字为公式。正式输出必须由标准化输入填充并在“数据来源”表记录依据；缺失输入保持空白或NA。工作表仅保留必要计算链和简短口径，不展开教学式公式。企业自由现金流（FCFF）口径不适用于银行、保险和券商等金融机构。</x:v>
      </x:c>
      <x:c r="B15" s="34"/>
      <x:c r="C15" s="34"/>
      <x:c r="D15" s="34"/>
      <x:c r="E15" s="34"/>
      <x:c r="F15" s="34"/>
      <x:c r="G15" s="34"/>
      <x:c r="H15" s="35"/>
    </x:row>
    <x:row r="16">
      <x:c r="A16" s="36"/>
      <x:c r="B16" s="37"/>
      <x:c r="C16" s="37"/>
      <x:c r="D16" s="37"/>
      <x:c r="E16" s="37"/>
      <x:c r="F16" s="37"/>
      <x:c r="G16" s="37"/>
      <x:c r="H16" s="38"/>
    </x:row>
    <x:row r="17">
      <x:c r="A17" s="36"/>
      <x:c r="B17" s="37"/>
      <x:c r="C17" s="37"/>
      <x:c r="D17" s="37"/>
      <x:c r="E17" s="37"/>
      <x:c r="F17" s="37"/>
      <x:c r="G17" s="37"/>
      <x:c r="H17" s="38"/>
    </x:row>
    <x:row r="18">
      <x:c r="A18" s="39"/>
      <x:c r="B18" s="40"/>
      <x:c r="C18" s="40"/>
      <x:c r="D18" s="40"/>
      <x:c r="E18" s="40"/>
      <x:c r="F18" s="40"/>
      <x:c r="G18" s="40"/>
      <x:c r="H18" s="41"/>
    </x:row>
    <x:row r="20">
      <x:c r="A20" s="46" t="str">
        <x:v>颜色图例</x:v>
      </x:c>
      <x:c r="B20" s="47" t="str">
        <x:v>含义</x:v>
      </x:c>
      <x:c r="C20"/>
      <x:c r="D20"/>
    </x:row>
    <x:row r="21">
      <x:c r="A21" s="48" t="str">
        <x:v>蓝字</x:v>
      </x:c>
      <x:c r="B21" t="str">
        <x:v>可编辑假设</x:v>
      </x:c>
      <x:c r="C21"/>
      <x:c r="D21"/>
    </x:row>
    <x:row r="22">
      <x:c r="A22" s="5" t="str">
        <x:v>绿字</x:v>
      </x:c>
      <x:c r="B22" t="str">
        <x:v>同工作簿链接</x:v>
      </x:c>
      <x:c r="C22"/>
      <x:c r="D22"/>
    </x:row>
    <x:row r="23">
      <x:c r="A23" s="49" t="str">
        <x:v>黑字</x:v>
      </x:c>
      <x:c r="B23" t="str">
        <x:v>公式和计算</x:v>
      </x:c>
      <x:c r="C23"/>
      <x:c r="D23"/>
    </x:row>
  </x:sheetData>
  <x:mergeCells>
    <x:mergeCell ref="A1:H1"/>
    <x:mergeCell ref="A9:H9"/>
    <x:mergeCell ref="A15:H18"/>
  </x:mergeCells>
  <x:conditionalFormatting sqref="B13:B13">
    <x:cfRule type="containsText" dxfId="0" priority="1" operator="containsText" text="PASS"/>
    <x:cfRule type="containsText" dxfId="1" priority="2" operator="containsText" text="INCOMPLETE"/>
    <x:cfRule type="containsText" dxfId="2" priority="3" operator="containsText" text="FAIL"/>
  </x:conditionalFormatting>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8" hidden="0" customWidth="1"/>
    <x:col min="2" max="2" width="14" hidden="0" customWidth="1"/>
    <x:col min="3" max="3" width="32" hidden="0" customWidth="1"/>
    <x:col min="4" max="4" width="28" hidden="0" customWidth="1"/>
    <x:col min="5" max="5" width="28" hidden="0" customWidth="1"/>
    <x:col min="6" max="6" width="32" hidden="0" customWidth="1"/>
    <x:col min="7" max="7" width="16" hidden="0" customWidth="1"/>
    <x:col min="8" max="8" width="26" hidden="0" customWidth="1"/>
  </x:cols>
  <x:sheetData>
    <x:row r="1" ht="28" customHeight="1">
      <x:c r="A1" s="4" t="str">
        <x:v>建模执行计划与交付状态</x:v>
      </x:c>
    </x:row>
    <x:row r="3">
      <x:c r="A3" s="46" t="str">
        <x:v>阶段</x:v>
      </x:c>
      <x:c r="B3" s="51" t="str">
        <x:v>状态</x:v>
      </x:c>
      <x:c r="C3" s="51" t="str">
        <x:v>输入/证据</x:v>
      </x:c>
      <x:c r="D3" s="51" t="str">
        <x:v>确定性动作</x:v>
      </x:c>
      <x:c r="E3" s="51" t="str">
        <x:v>产物</x:v>
      </x:c>
      <x:c r="F3" s="51" t="str">
        <x:v>阻断条件</x:v>
      </x:c>
      <x:c r="G3" s="51" t="str">
        <x:v>负责人</x:v>
      </x:c>
      <x:c r="H3" s="47" t="str">
        <x:v>备注</x:v>
      </x:c>
    </x:row>
    <x:row r="4">
      <x:c r="A4" s="78" t="str">
        <x:v>范围冻结</x:v>
      </x:c>
      <x:c r="B4" s="79" t="str">
        <x:v>待完成</x:v>
      </x:c>
      <x:c r="C4" s="80" t="str">
        <x:v>证券、估值日、币种、方法</x:v>
      </x:c>
      <x:c r="D4" s="80" t="str">
        <x:v>验证执行计划</x:v>
      </x:c>
      <x:c r="E4" s="80" t="str">
        <x:v>execution-plan.json</x:v>
      </x:c>
      <x:c r="F4" s="80" t="str">
        <x:v>证券或日期未锁定</x:v>
      </x:c>
      <x:c r="G4" s="80" t="str">
        <x:v>模型执行人</x:v>
      </x:c>
      <x:c r="H4" s="81" t="str"/>
    </x:row>
    <x:row r="5">
      <x:c r="A5" s="82" t="str">
        <x:v>证据冻结</x:v>
      </x:c>
      <x:c r="B5" s="83" t="str">
        <x:v>待完成</x:v>
      </x:c>
      <x:c r="C5" s="84" t="str">
        <x:v>财务、市场、股本及公司行动来源</x:v>
      </x:c>
      <x:c r="D5" s="84" t="str">
        <x:v>逐字段来源映射</x:v>
      </x:c>
      <x:c r="E5" s="84" t="str">
        <x:v>normalized-dcf.json</x:v>
      </x:c>
      <x:c r="F5" s="84" t="str">
        <x:v>关键来源覆盖不足</x:v>
      </x:c>
      <x:c r="G5" s="84" t="str">
        <x:v>模型执行人</x:v>
      </x:c>
      <x:c r="H5" s="85" t="str"/>
    </x:row>
    <x:row r="6">
      <x:c r="A6" s="82" t="str">
        <x:v>确定性计算</x:v>
      </x:c>
      <x:c r="B6" s="83" t="str">
        <x:v>待完成</x:v>
      </x:c>
      <x:c r="C6" s="84" t="str">
        <x:v>已验证标准化输入</x:v>
      </x:c>
      <x:c r="D6" s="84" t="str">
        <x:v>计算并验证DCF</x:v>
      </x:c>
      <x:c r="E6" s="84" t="str">
        <x:v>calculated-dcf.json</x:v>
      </x:c>
      <x:c r="F6" s="84" t="str">
        <x:v>计算或方向性检查失败</x:v>
      </x:c>
      <x:c r="G6" s="84" t="str">
        <x:v>计算脚本</x:v>
      </x:c>
      <x:c r="H6" s="85" t="str"/>
    </x:row>
    <x:row r="7">
      <x:c r="A7" s="82" t="str">
        <x:v>公式工作簿</x:v>
      </x:c>
      <x:c r="B7" s="83" t="str">
        <x:v>待完成</x:v>
      </x:c>
      <x:c r="C7" s="84" t="str">
        <x:v>标准化输入与计算结果</x:v>
      </x:c>
      <x:c r="D7" s="84" t="str">
        <x:v>填充并检查同一公式内核</x:v>
      </x:c>
      <x:c r="E7" s="84" t="str">
        <x:v>dcf-formula-model.xlsx</x:v>
      </x:c>
      <x:c r="F7" s="84" t="str">
        <x:v>公式、股本桥或跨页不一致</x:v>
      </x:c>
      <x:c r="G7" s="84" t="str">
        <x:v>工作簿生成器</x:v>
      </x:c>
      <x:c r="H7" s="85" t="str"/>
    </x:row>
    <x:row r="8">
      <x:c r="A8" s="82" t="str">
        <x:v>交付审计</x:v>
      </x:c>
      <x:c r="B8" s="83" t="str">
        <x:v>待完成</x:v>
      </x:c>
      <x:c r="C8" s="84" t="str">
        <x:v>报告、工作簿、来源和检查</x:v>
      </x:c>
      <x:c r="D8" s="84" t="str">
        <x:v>运行交付验证</x:v>
      </x:c>
      <x:c r="E8" s="84" t="str">
        <x:v>delivery-validation.json</x:v>
      </x:c>
      <x:c r="F8" s="84" t="str">
        <x:v>状态不是PASS</x:v>
      </x:c>
      <x:c r="G8" s="84" t="str">
        <x:v>审计脚本</x:v>
      </x:c>
      <x:c r="H8" s="85" t="str"/>
    </x:row>
    <x:row r="9">
      <x:c r="A9" s="86" t="str">
        <x:v>结论发布</x:v>
      </x:c>
      <x:c r="B9" s="87" t="str">
        <x:v>待完成</x:v>
      </x:c>
      <x:c r="C9" s="88" t="str">
        <x:v>全部验证产物</x:v>
      </x:c>
      <x:c r="D9" s="88" t="str">
        <x:v>按状态决定是否发布估值</x:v>
      </x:c>
      <x:c r="E9" s="88" t="str">
        <x:v>报告/摘要</x:v>
      </x:c>
      <x:c r="F9" s="88" t="str">
        <x:v>任何硬门失败</x:v>
      </x:c>
      <x:c r="G9" s="88" t="str">
        <x:v>模型执行人</x:v>
      </x:c>
      <x:c r="H9" s="89" t="str"/>
    </x:row>
    <x:row r="11">
      <x:c r="A11" s="37" t="str">
        <x:v>执行计划只描述范围、证据要求、计算路径和交付门槛，不保存第二套估值结果。正式任务必须先通过 scripts/common/validate_execution_plan.py；模型结论仍由标准化输入、确定性计算和交付审计共同决定。</x:v>
      </x:c>
      <x:c r="B11" s="37"/>
      <x:c r="C11" s="37"/>
      <x:c r="D11" s="37"/>
      <x:c r="E11" s="37"/>
      <x:c r="F11" s="37"/>
      <x:c r="G11" s="37"/>
      <x:c r="H11" s="37"/>
    </x:row>
    <x:row r="12">
      <x:c r="A12" s="37"/>
      <x:c r="B12" s="37"/>
      <x:c r="C12" s="37"/>
      <x:c r="D12" s="37"/>
      <x:c r="E12" s="37"/>
      <x:c r="F12" s="37"/>
      <x:c r="G12" s="37"/>
      <x:c r="H12" s="37"/>
    </x:row>
    <x:row r="13">
      <x:c r="A13" s="37"/>
      <x:c r="B13" s="37"/>
      <x:c r="C13" s="37"/>
      <x:c r="D13" s="37"/>
      <x:c r="E13" s="37"/>
      <x:c r="F13" s="37"/>
      <x:c r="G13" s="37"/>
      <x:c r="H13" s="37"/>
    </x:row>
    <x:row r="14">
      <x:c r="A14" s="37"/>
      <x:c r="B14" s="37"/>
      <x:c r="C14" s="37"/>
      <x:c r="D14" s="37"/>
      <x:c r="E14" s="37"/>
      <x:c r="F14" s="37"/>
      <x:c r="G14" s="37"/>
      <x:c r="H14" s="37"/>
    </x:row>
  </x:sheetData>
  <x:mergeCells>
    <x:mergeCell ref="A1:H1"/>
    <x:mergeCell ref="A11:H14"/>
  </x:mergeCells>
  <x:dataValidations count="1">
    <x:dataValidation type="list" sqref="B4:B9">
      <x:formula1>"待完成,进行中,已完成,已阻断"</x:formula1>
    </x:dataValidation>
  </x:dataValidation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4" hidden="0" customWidth="1"/>
    <x:col min="2" max="2" width="24" hidden="0" customWidth="1"/>
    <x:col min="3" max="3" width="14" hidden="0" customWidth="1"/>
    <x:col min="4" max="4" width="12" hidden="0" customWidth="1"/>
    <x:col min="5" max="5" width="14" hidden="0" customWidth="1"/>
    <x:col min="6" max="6" width="16" hidden="0" customWidth="1"/>
    <x:col min="7" max="7" width="22" hidden="0" customWidth="1"/>
    <x:col min="8" max="8" width="38" hidden="0" customWidth="1"/>
    <x:col min="9" max="9" width="15" hidden="0" customWidth="1"/>
    <x:col min="10" max="10" width="28" hidden="0" customWidth="1"/>
  </x:cols>
  <x:sheetData>
    <x:row r="1" ht="28" customHeight="1">
      <x:c r="A1" s="4" t="str">
        <x:v>数据来源与字段台账</x:v>
      </x:c>
    </x:row>
    <x:row r="3">
      <x:c r="A3" s="46" t="str">
        <x:v>来源编号</x:v>
      </x:c>
      <x:c r="B3" s="51" t="str">
        <x:v>字段/项目</x:v>
      </x:c>
      <x:c r="C3" s="51" t="str">
        <x:v>数值</x:v>
      </x:c>
      <x:c r="D3" s="51" t="str">
        <x:v>单位</x:v>
      </x:c>
      <x:c r="E3" s="51" t="str">
        <x:v>期间/时点</x:v>
      </x:c>
      <x:c r="F3" s="51" t="str">
        <x:v>来源类型</x:v>
      </x:c>
      <x:c r="G3" s="51" t="str">
        <x:v>来源名称</x:v>
      </x:c>
      <x:c r="H3" s="51" t="str">
        <x:v>网址/文件</x:v>
      </x:c>
      <x:c r="I3" s="51" t="str">
        <x:v>公开/快照日</x:v>
      </x:c>
      <x:c r="J3" s="47" t="str">
        <x:v>备注</x:v>
      </x:c>
    </x:row>
    <x:row r="4">
      <x:c r="A4" s="103" t="str">
        <x:v>SRC-DEMO</x:v>
      </x:c>
      <x:c r="B4" s="104" t="str">
        <x:v>模板示例数据</x:v>
      </x:c>
      <x:c r="C4" s="104"/>
      <x:c r="D4" s="104" t="str">
        <x:v>人民币百万元</x:v>
      </x:c>
      <x:c r="E4" s="104" t="str">
        <x:v>2026年实际</x:v>
      </x:c>
      <x:c r="F4" s="104" t="str">
        <x:v>示例</x:v>
      </x:c>
      <x:c r="G4" s="104" t="str">
        <x:v>仅用于展示</x:v>
      </x:c>
      <x:c r="H4" s="104" t="str">
        <x:v>缺失（NA）</x:v>
      </x:c>
      <x:c r="I4" s="105" t="n">
        <x:v>46203</x:v>
      </x:c>
      <x:c r="J4" s="106" t="str">
        <x:v>正式估值时删除并替换</x:v>
      </x:c>
    </x:row>
    <x:row r="5">
      <x:c r="A5" s="107" t="str"/>
      <x:c r="B5" s="108" t="str"/>
      <x:c r="C5" s="108"/>
      <x:c r="D5" s="108" t="str"/>
      <x:c r="E5" s="108" t="str"/>
      <x:c r="F5" s="108" t="str"/>
      <x:c r="G5" s="108" t="str"/>
      <x:c r="H5" s="108" t="str"/>
      <x:c r="I5" s="109"/>
      <x:c r="J5" s="110" t="str"/>
    </x:row>
    <x:row r="6">
      <x:c r="A6" s="107"/>
      <x:c r="B6" s="108"/>
      <x:c r="C6" s="108"/>
      <x:c r="D6" s="108"/>
      <x:c r="E6" s="108"/>
      <x:c r="F6" s="108"/>
      <x:c r="G6" s="108"/>
      <x:c r="H6" s="108"/>
      <x:c r="I6" s="109"/>
      <x:c r="J6" s="110"/>
    </x:row>
    <x:row r="7">
      <x:c r="A7" s="107"/>
      <x:c r="B7" s="108"/>
      <x:c r="C7" s="108"/>
      <x:c r="D7" s="108"/>
      <x:c r="E7" s="108"/>
      <x:c r="F7" s="108"/>
      <x:c r="G7" s="108"/>
      <x:c r="H7" s="108"/>
      <x:c r="I7" s="109"/>
      <x:c r="J7" s="110"/>
    </x:row>
    <x:row r="8">
      <x:c r="A8" s="107"/>
      <x:c r="B8" s="108"/>
      <x:c r="C8" s="108"/>
      <x:c r="D8" s="108"/>
      <x:c r="E8" s="108"/>
      <x:c r="F8" s="108"/>
      <x:c r="G8" s="108"/>
      <x:c r="H8" s="108"/>
      <x:c r="I8" s="109"/>
      <x:c r="J8" s="110"/>
    </x:row>
    <x:row r="9">
      <x:c r="A9" s="107"/>
      <x:c r="B9" s="108"/>
      <x:c r="C9" s="108"/>
      <x:c r="D9" s="108"/>
      <x:c r="E9" s="108"/>
      <x:c r="F9" s="108"/>
      <x:c r="G9" s="108"/>
      <x:c r="H9" s="108"/>
      <x:c r="I9" s="109"/>
      <x:c r="J9" s="110"/>
    </x:row>
    <x:row r="10">
      <x:c r="A10" s="107"/>
      <x:c r="B10" s="108"/>
      <x:c r="C10" s="108"/>
      <x:c r="D10" s="108"/>
      <x:c r="E10" s="108"/>
      <x:c r="F10" s="108"/>
      <x:c r="G10" s="108"/>
      <x:c r="H10" s="108"/>
      <x:c r="I10" s="109"/>
      <x:c r="J10" s="110"/>
    </x:row>
    <x:row r="11">
      <x:c r="A11" s="107"/>
      <x:c r="B11" s="108"/>
      <x:c r="C11" s="108"/>
      <x:c r="D11" s="108"/>
      <x:c r="E11" s="108"/>
      <x:c r="F11" s="108"/>
      <x:c r="G11" s="108"/>
      <x:c r="H11" s="108"/>
      <x:c r="I11" s="109"/>
      <x:c r="J11" s="110"/>
    </x:row>
    <x:row r="12">
      <x:c r="A12" s="107"/>
      <x:c r="B12" s="108"/>
      <x:c r="C12" s="108"/>
      <x:c r="D12" s="108"/>
      <x:c r="E12" s="108"/>
      <x:c r="F12" s="108"/>
      <x:c r="G12" s="108"/>
      <x:c r="H12" s="108"/>
      <x:c r="I12" s="109"/>
      <x:c r="J12" s="110"/>
    </x:row>
    <x:row r="13">
      <x:c r="A13" s="107"/>
      <x:c r="B13" s="108"/>
      <x:c r="C13" s="108"/>
      <x:c r="D13" s="108"/>
      <x:c r="E13" s="108"/>
      <x:c r="F13" s="108"/>
      <x:c r="G13" s="108"/>
      <x:c r="H13" s="108"/>
      <x:c r="I13" s="109"/>
      <x:c r="J13" s="110"/>
    </x:row>
    <x:row r="14">
      <x:c r="A14" s="107"/>
      <x:c r="B14" s="108"/>
      <x:c r="C14" s="108"/>
      <x:c r="D14" s="108"/>
      <x:c r="E14" s="108"/>
      <x:c r="F14" s="108"/>
      <x:c r="G14" s="108"/>
      <x:c r="H14" s="108"/>
      <x:c r="I14" s="109"/>
      <x:c r="J14" s="110"/>
    </x:row>
    <x:row r="15">
      <x:c r="A15" s="107"/>
      <x:c r="B15" s="108"/>
      <x:c r="C15" s="108"/>
      <x:c r="D15" s="108"/>
      <x:c r="E15" s="108"/>
      <x:c r="F15" s="108"/>
      <x:c r="G15" s="108"/>
      <x:c r="H15" s="108"/>
      <x:c r="I15" s="109"/>
      <x:c r="J15" s="110"/>
    </x:row>
    <x:row r="16">
      <x:c r="A16" s="107"/>
      <x:c r="B16" s="108"/>
      <x:c r="C16" s="108"/>
      <x:c r="D16" s="108"/>
      <x:c r="E16" s="108"/>
      <x:c r="F16" s="108"/>
      <x:c r="G16" s="108"/>
      <x:c r="H16" s="108"/>
      <x:c r="I16" s="109"/>
      <x:c r="J16" s="110"/>
    </x:row>
    <x:row r="17">
      <x:c r="A17" s="107"/>
      <x:c r="B17" s="108"/>
      <x:c r="C17" s="108"/>
      <x:c r="D17" s="108"/>
      <x:c r="E17" s="108"/>
      <x:c r="F17" s="108"/>
      <x:c r="G17" s="108"/>
      <x:c r="H17" s="108"/>
      <x:c r="I17" s="109"/>
      <x:c r="J17" s="110"/>
    </x:row>
    <x:row r="18">
      <x:c r="A18" s="107"/>
      <x:c r="B18" s="108"/>
      <x:c r="C18" s="108"/>
      <x:c r="D18" s="108"/>
      <x:c r="E18" s="108"/>
      <x:c r="F18" s="108"/>
      <x:c r="G18" s="108"/>
      <x:c r="H18" s="108"/>
      <x:c r="I18" s="109"/>
      <x:c r="J18" s="110"/>
    </x:row>
    <x:row r="19">
      <x:c r="A19" s="107"/>
      <x:c r="B19" s="108"/>
      <x:c r="C19" s="108"/>
      <x:c r="D19" s="108"/>
      <x:c r="E19" s="108"/>
      <x:c r="F19" s="108"/>
      <x:c r="G19" s="108"/>
      <x:c r="H19" s="108"/>
      <x:c r="I19" s="109"/>
      <x:c r="J19" s="110"/>
    </x:row>
    <x:row r="20">
      <x:c r="A20" s="107"/>
      <x:c r="B20" s="108"/>
      <x:c r="C20" s="108"/>
      <x:c r="D20" s="108"/>
      <x:c r="E20" s="108"/>
      <x:c r="F20" s="108"/>
      <x:c r="G20" s="108"/>
      <x:c r="H20" s="108"/>
      <x:c r="I20" s="109"/>
      <x:c r="J20" s="110"/>
    </x:row>
    <x:row r="21">
      <x:c r="A21" s="107"/>
      <x:c r="B21" s="108"/>
      <x:c r="C21" s="108"/>
      <x:c r="D21" s="108"/>
      <x:c r="E21" s="108"/>
      <x:c r="F21" s="108"/>
      <x:c r="G21" s="108"/>
      <x:c r="H21" s="108"/>
      <x:c r="I21" s="109"/>
      <x:c r="J21" s="110"/>
    </x:row>
    <x:row r="22">
      <x:c r="A22" s="107"/>
      <x:c r="B22" s="108"/>
      <x:c r="C22" s="108"/>
      <x:c r="D22" s="108"/>
      <x:c r="E22" s="108"/>
      <x:c r="F22" s="108"/>
      <x:c r="G22" s="108"/>
      <x:c r="H22" s="108"/>
      <x:c r="I22" s="109"/>
      <x:c r="J22" s="110"/>
    </x:row>
    <x:row r="23">
      <x:c r="A23" s="107"/>
      <x:c r="B23" s="108"/>
      <x:c r="C23" s="108"/>
      <x:c r="D23" s="108"/>
      <x:c r="E23" s="108"/>
      <x:c r="F23" s="108"/>
      <x:c r="G23" s="108"/>
      <x:c r="H23" s="108"/>
      <x:c r="I23" s="109"/>
      <x:c r="J23" s="110"/>
    </x:row>
    <x:row r="24">
      <x:c r="A24" s="107"/>
      <x:c r="B24" s="108"/>
      <x:c r="C24" s="108"/>
      <x:c r="D24" s="108"/>
      <x:c r="E24" s="108"/>
      <x:c r="F24" s="108"/>
      <x:c r="G24" s="108"/>
      <x:c r="H24" s="108"/>
      <x:c r="I24" s="109"/>
      <x:c r="J24" s="110"/>
    </x:row>
    <x:row r="25">
      <x:c r="A25" s="107"/>
      <x:c r="B25" s="108"/>
      <x:c r="C25" s="108"/>
      <x:c r="D25" s="108"/>
      <x:c r="E25" s="108"/>
      <x:c r="F25" s="108"/>
      <x:c r="G25" s="108"/>
      <x:c r="H25" s="108"/>
      <x:c r="I25" s="109"/>
      <x:c r="J25" s="110"/>
    </x:row>
    <x:row r="26">
      <x:c r="A26" s="107"/>
      <x:c r="B26" s="108"/>
      <x:c r="C26" s="108"/>
      <x:c r="D26" s="108"/>
      <x:c r="E26" s="108"/>
      <x:c r="F26" s="108"/>
      <x:c r="G26" s="108"/>
      <x:c r="H26" s="108"/>
      <x:c r="I26" s="109"/>
      <x:c r="J26" s="110"/>
    </x:row>
    <x:row r="27">
      <x:c r="A27" s="107"/>
      <x:c r="B27" s="108"/>
      <x:c r="C27" s="108"/>
      <x:c r="D27" s="108"/>
      <x:c r="E27" s="108"/>
      <x:c r="F27" s="108"/>
      <x:c r="G27" s="108"/>
      <x:c r="H27" s="108"/>
      <x:c r="I27" s="109"/>
      <x:c r="J27" s="110"/>
    </x:row>
    <x:row r="28">
      <x:c r="A28" s="107"/>
      <x:c r="B28" s="108"/>
      <x:c r="C28" s="108"/>
      <x:c r="D28" s="108"/>
      <x:c r="E28" s="108"/>
      <x:c r="F28" s="108"/>
      <x:c r="G28" s="108"/>
      <x:c r="H28" s="108"/>
      <x:c r="I28" s="109"/>
      <x:c r="J28" s="110"/>
    </x:row>
    <x:row r="29">
      <x:c r="A29" s="107"/>
      <x:c r="B29" s="108"/>
      <x:c r="C29" s="108"/>
      <x:c r="D29" s="108"/>
      <x:c r="E29" s="108"/>
      <x:c r="F29" s="108"/>
      <x:c r="G29" s="108"/>
      <x:c r="H29" s="108"/>
      <x:c r="I29" s="109"/>
      <x:c r="J29" s="110"/>
    </x:row>
    <x:row r="30">
      <x:c r="A30" s="111"/>
      <x:c r="B30" s="112"/>
      <x:c r="C30" s="112"/>
      <x:c r="D30" s="112"/>
      <x:c r="E30" s="112"/>
      <x:c r="F30" s="112"/>
      <x:c r="G30" s="112"/>
      <x:c r="H30" s="112"/>
      <x:c r="I30" s="113"/>
      <x:c r="J30" s="114"/>
    </x:row>
  </x:sheetData>
  <x:mergeCells>
    <x:mergeCell ref="A1:J1"/>
  </x:mergeCell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18" hidden="0" customWidth="1"/>
    <x:col min="2" max="2" width="20" hidden="0" customWidth="1"/>
    <x:col min="3" max="3" width="15" hidden="0" customWidth="1"/>
    <x:col min="4" max="4" width="14" hidden="0" customWidth="1"/>
    <x:col min="5" max="5" width="17" hidden="0" customWidth="1"/>
    <x:col min="6" max="6" width="14" hidden="0" customWidth="1"/>
    <x:col min="7" max="7" width="10" hidden="0" customWidth="1"/>
    <x:col min="8" max="8" width="11" hidden="0" customWidth="1"/>
    <x:col min="9" max="9" width="16" hidden="0" customWidth="1"/>
    <x:col min="10" max="10" width="16" hidden="0" customWidth="1"/>
    <x:col min="11" max="11" width="13" hidden="0" customWidth="1"/>
    <x:col min="12" max="12" width="18" hidden="0" customWidth="1"/>
  </x:cols>
  <x:sheetData>
    <x:row r="1" ht="28" customHeight="1">
      <x:c r="A1" s="4" t="str">
        <x:v>估值日股本、公司行动与分证券市值桥</x:v>
      </x:c>
    </x:row>
    <x:row r="3">
      <x:c r="A3" t="str">
        <x:v>估值基准日</x:v>
      </x:c>
      <x:c r="B3" s="6" t="n">
        <x:f>'估值假设'!B6</x:f>
        <x:v>46203</x:v>
      </x:c>
    </x:row>
    <x:row r="4">
      <x:c r="A4" t="str">
        <x:v>最近可靠股本日</x:v>
      </x:c>
      <x:c r="B4" s="116" t="n">
        <x:v>46022</x:v>
      </x:c>
    </x:row>
    <x:row r="5">
      <x:c r="A5" t="str">
        <x:v>公司行动检索起始日</x:v>
      </x:c>
      <x:c r="B5" s="116" t="n">
        <x:v>46022</x:v>
      </x:c>
    </x:row>
    <x:row r="6">
      <x:c r="A6" t="str">
        <x:v>公司行动检索截止日</x:v>
      </x:c>
      <x:c r="B6" s="6" t="n">
        <x:f>'估值假设'!B6</x:f>
        <x:v>46203</x:v>
      </x:c>
    </x:row>
    <x:row r="7">
      <x:c r="A7" t="str">
        <x:v>公司行动核验状态</x:v>
      </x:c>
      <x:c r="B7" s="53" t="str">
        <x:v>未完成</x:v>
      </x:c>
    </x:row>
    <x:row r="8">
      <x:c r="A8" t="str">
        <x:v>股价与股数口径核验</x:v>
      </x:c>
      <x:c r="B8" s="53" t="str">
        <x:v>未完成</x:v>
      </x:c>
    </x:row>
    <x:row r="9">
      <x:c r="A9" t="str">
        <x:v>完全稀释股份数目标</x:v>
      </x:c>
      <x:c r="B9" s="117" t="n">
        <x:v>100</x:v>
      </x:c>
    </x:row>
    <x:row r="11">
      <x:c r="A11" s="9" t="str">
        <x:v>分证券股价 × 估值日股数 × 汇率与独立市值反向勾稽</x:v>
      </x:c>
    </x:row>
    <x:row r="12">
      <x:c r="A12" s="46" t="str">
        <x:v>证券</x:v>
      </x:c>
      <x:c r="B12" s="51" t="str">
        <x:v>交易所</x:v>
      </x:c>
      <x:c r="C12" s="51" t="str">
        <x:v>估值日股数</x:v>
      </x:c>
      <x:c r="D12" s="51" t="str">
        <x:v>股数日</x:v>
      </x:c>
      <x:c r="E12" s="51" t="str">
        <x:v>不复权收盘价</x:v>
      </x:c>
      <x:c r="F12" s="51" t="str">
        <x:v>价格日</x:v>
      </x:c>
      <x:c r="G12" s="51" t="str">
        <x:v>币种</x:v>
      </x:c>
      <x:c r="H12" s="51" t="str">
        <x:v>汇率</x:v>
      </x:c>
      <x:c r="I12" s="51" t="str">
        <x:v>计算市值</x:v>
      </x:c>
      <x:c r="J12" s="51" t="str">
        <x:v>独立市值</x:v>
      </x:c>
      <x:c r="K12" s="51" t="str">
        <x:v>差异率</x:v>
      </x:c>
      <x:c r="L12" s="47" t="str">
        <x:v>来源编号</x:v>
      </x:c>
    </x:row>
    <x:row r="13">
      <x:c r="A13" s="53" t="str">
        <x:v>DEMO</x:v>
      </x:c>
      <x:c r="B13" s="53" t="str">
        <x:v>示例交易所</x:v>
      </x:c>
      <x:c r="C13" s="117" t="n">
        <x:v>100</x:v>
      </x:c>
      <x:c r="D13" s="116" t="n">
        <x:v>46203</x:v>
      </x:c>
      <x:c r="E13" s="120" t="n">
        <x:v>25</x:v>
      </x:c>
      <x:c r="F13" s="116" t="n">
        <x:v>46203</x:v>
      </x:c>
      <x:c r="G13" s="53" t="str">
        <x:v>CNY</x:v>
      </x:c>
      <x:c r="H13" s="121" t="n">
        <x:v>1</x:v>
      </x:c>
      <x:c r="I13" s="118" t="n">
        <x:f>IF(OR(C13="",E13="",H13=""),"",C13*E13*H13)</x:f>
        <x:v>2500</x:v>
      </x:c>
      <x:c r="J13" s="117" t="n">
        <x:v>2500</x:v>
      </x:c>
      <x:c r="K13" s="119" t="n">
        <x:f>IF(OR(I13="",J13="",J13=0),0,(I13-J13)/J13)</x:f>
        <x:v>0</x:v>
      </x:c>
      <x:c r="L13" s="53" t="str">
        <x:v>SRC-DEMO</x:v>
      </x:c>
    </x:row>
    <x:row r="14">
      <x:c r="A14" s="53" t="str"/>
      <x:c r="B14" s="53" t="str"/>
      <x:c r="C14" s="117"/>
      <x:c r="D14" s="116"/>
      <x:c r="E14" s="120"/>
      <x:c r="F14" s="116"/>
      <x:c r="G14" s="53" t="str"/>
      <x:c r="H14" s="121"/>
      <x:c r="I14" s="118" t="str">
        <x:f>IF(OR(C14="",E14="",H14=""),"",C14*E14*H14)</x:f>
      </x:c>
      <x:c r="J14" s="117"/>
      <x:c r="K14" s="119" t="n">
        <x:f>IF(OR(I14="",J14="",J14=0),0,(I14-J14)/J14)</x:f>
        <x:v>0</x:v>
      </x:c>
      <x:c r="L14" s="53" t="str"/>
    </x:row>
    <x:row r="15">
      <x:c r="A15" s="53" t="str"/>
      <x:c r="B15" s="53" t="str"/>
      <x:c r="C15" s="117"/>
      <x:c r="D15" s="116"/>
      <x:c r="E15" s="120"/>
      <x:c r="F15" s="116"/>
      <x:c r="G15" s="53" t="str"/>
      <x:c r="H15" s="121"/>
      <x:c r="I15" s="118" t="str">
        <x:f>IF(OR(C15="",E15="",H15=""),"",C15*E15*H15)</x:f>
      </x:c>
      <x:c r="J15" s="117"/>
      <x:c r="K15" s="119" t="n">
        <x:f>IF(OR(I15="",J15="",J15=0),0,(I15-J15)/J15)</x:f>
        <x:v>0</x:v>
      </x:c>
      <x:c r="L15" s="53" t="str"/>
    </x:row>
    <x:row r="16">
      <x:c r="A16" s="125" t="str">
        <x:v>合计</x:v>
      </x:c>
      <x:c r="B16" s="125"/>
      <x:c r="C16" s="126" t="n">
        <x:f>SUM(C13:C15)</x:f>
        <x:v>100</x:v>
      </x:c>
      <x:c r="D16" s="126"/>
      <x:c r="E16" s="126"/>
      <x:c r="F16" s="126"/>
      <x:c r="G16" s="126"/>
      <x:c r="H16" s="126"/>
      <x:c r="I16" s="126" t="n">
        <x:f>SUM(I13:I15)</x:f>
        <x:v>2500</x:v>
      </x:c>
      <x:c r="J16" s="126" t="n">
        <x:f>SUM(J13:J15)</x:f>
        <x:v>2500</x:v>
      </x:c>
      <x:c r="K16" s="127" t="n">
        <x:f>IF(J16=0,"",(I16-J16)/J16)</x:f>
        <x:v>0</x:v>
      </x:c>
      <x:c r="L16" s="125"/>
    </x:row>
    <x:row r="18">
      <x:c r="A18" s="9" t="str">
        <x:v>估值日前公司行动滚存</x:v>
      </x:c>
    </x:row>
    <x:row r="19">
      <x:c r="A19" s="46" t="str">
        <x:v>证券</x:v>
      </x:c>
      <x:c r="B19" s="51" t="str">
        <x:v>行动类型</x:v>
      </x:c>
      <x:c r="C19" s="51" t="str">
        <x:v>公告日</x:v>
      </x:c>
      <x:c r="D19" s="51" t="str">
        <x:v>生效日</x:v>
      </x:c>
      <x:c r="E19" s="51" t="str">
        <x:v>变动前股数</x:v>
      </x:c>
      <x:c r="F19" s="51" t="str">
        <x:v>变动股数</x:v>
      </x:c>
      <x:c r="G19" s="51" t="str">
        <x:v>变动后股数</x:v>
      </x:c>
      <x:c r="H19" s="51" t="str">
        <x:v>已计入估值日股数</x:v>
      </x:c>
      <x:c r="I19" s="51" t="str">
        <x:v>来源编号</x:v>
      </x:c>
      <x:c r="J19" s="47" t="str">
        <x:v>备注</x:v>
      </x:c>
    </x:row>
    <x:row r="20">
      <x:c r="A20" s="53" t="str">
        <x:v>DEMO</x:v>
      </x:c>
      <x:c r="B20" s="53" t="str">
        <x:v>转增/送股示例</x:v>
      </x:c>
      <x:c r="C20" s="116" t="n">
        <x:v>46152</x:v>
      </x:c>
      <x:c r="D20" s="116" t="n">
        <x:v>46160</x:v>
      </x:c>
      <x:c r="E20" s="117" t="n">
        <x:v>80</x:v>
      </x:c>
      <x:c r="F20" s="117" t="n">
        <x:v>20</x:v>
      </x:c>
      <x:c r="G20" s="117" t="n">
        <x:v>100</x:v>
      </x:c>
      <x:c r="H20" s="53" t="str">
        <x:v>是</x:v>
      </x:c>
      <x:c r="I20" s="53" t="str">
        <x:v>SRC-DEMO</x:v>
      </x:c>
      <x:c r="J20" s="53" t="str">
        <x:v>示例；正式估值须替换</x:v>
      </x:c>
    </x:row>
    <x:row r="21">
      <x:c r="A21" s="53" t="str"/>
      <x:c r="B21" s="53" t="str"/>
      <x:c r="C21" s="116"/>
      <x:c r="D21" s="116"/>
      <x:c r="E21" s="117"/>
      <x:c r="F21" s="117"/>
      <x:c r="G21" s="117"/>
      <x:c r="H21" s="53" t="str"/>
      <x:c r="I21" s="53" t="str"/>
      <x:c r="J21" s="53" t="str"/>
    </x:row>
    <x:row r="22">
      <x:c r="A22" s="53" t="str"/>
      <x:c r="B22" s="53" t="str"/>
      <x:c r="C22" s="116"/>
      <x:c r="D22" s="116"/>
      <x:c r="E22" s="117"/>
      <x:c r="F22" s="117"/>
      <x:c r="G22" s="117"/>
      <x:c r="H22" s="53" t="str"/>
      <x:c r="I22" s="53" t="str"/>
      <x:c r="J22" s="53" t="str"/>
    </x:row>
    <x:row r="24">
      <x:c r="A24" s="37" t="str">
        <x:v>强制规则：从最近可靠股本日至估值日检索权益分派、送转、拆合股、增发、回购、转换及A/H/ADR变化。股数日必须为估值日；市值使用不复权近端收盘价，不得使用复权价；逐证券计算市值必须与同日独立市值来源在容差内一致。</x:v>
      </x:c>
      <x:c r="B24" s="37"/>
      <x:c r="C24" s="37"/>
      <x:c r="D24" s="37"/>
      <x:c r="E24" s="37"/>
      <x:c r="F24" s="37"/>
      <x:c r="G24" s="37"/>
      <x:c r="H24" s="37"/>
      <x:c r="I24" s="37"/>
      <x:c r="J24" s="37"/>
      <x:c r="K24" s="37"/>
      <x:c r="L24" s="37"/>
    </x:row>
    <x:row r="25">
      <x:c r="A25" s="37"/>
      <x:c r="B25" s="37"/>
      <x:c r="C25" s="37"/>
      <x:c r="D25" s="37"/>
      <x:c r="E25" s="37"/>
      <x:c r="F25" s="37"/>
      <x:c r="G25" s="37"/>
      <x:c r="H25" s="37"/>
      <x:c r="I25" s="37"/>
      <x:c r="J25" s="37"/>
      <x:c r="K25" s="37"/>
      <x:c r="L25" s="37"/>
    </x:row>
    <x:row r="26">
      <x:c r="A26" s="37"/>
      <x:c r="B26" s="37"/>
      <x:c r="C26" s="37"/>
      <x:c r="D26" s="37"/>
      <x:c r="E26" s="37"/>
      <x:c r="F26" s="37"/>
      <x:c r="G26" s="37"/>
      <x:c r="H26" s="37"/>
      <x:c r="I26" s="37"/>
      <x:c r="J26" s="37"/>
      <x:c r="K26" s="37"/>
      <x:c r="L26" s="37"/>
    </x:row>
  </x:sheetData>
  <x:mergeCells>
    <x:mergeCell ref="A1:L1"/>
    <x:mergeCell ref="A11:L11"/>
    <x:mergeCell ref="A18:J18"/>
    <x:mergeCell ref="A24:L26"/>
  </x:mergeCells>
  <x:dataValidations count="3">
    <x:dataValidation type="list" sqref="B7">
      <x:formula1>"未完成,已完成"</x:formula1>
    </x:dataValidation>
    <x:dataValidation type="list" sqref="B8">
      <x:formula1>"未完成,已确认"</x:formula1>
    </x:dataValidation>
    <x:dataValidation type="list" sqref="H20:H22">
      <x:formula1>"是,否,不适用"</x:formula1>
    </x:dataValidation>
  </x:dataValidation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36" hidden="0" customWidth="1"/>
    <x:col min="2" max="2" width="16" hidden="0" customWidth="1"/>
    <x:col min="3" max="3" width="16" hidden="0" customWidth="1"/>
    <x:col min="4" max="4" width="16" hidden="0" customWidth="1"/>
    <x:col min="5" max="5" width="4" hidden="0" customWidth="1"/>
    <x:col min="6" max="6" width="38" hidden="0" customWidth="1"/>
    <x:col min="7" max="7" width="16" hidden="0" customWidth="1"/>
    <x:col min="8" max="8" width="14" hidden="0" customWidth="1"/>
  </x:cols>
  <x:sheetData>
    <x:row r="1" ht="28" customHeight="1">
      <x:c r="A1" s="4" t="str">
        <x:v>估值假设</x:v>
      </x:c>
    </x:row>
    <x:row r="3">
      <x:c r="A3" t="str">
        <x:v>公司</x:v>
      </x:c>
      <x:c r="B3" s="53" t="str">
        <x:v>示例非金融公司</x:v>
      </x:c>
    </x:row>
    <x:row r="4">
      <x:c r="A4" t="str">
        <x:v>证券代码</x:v>
      </x:c>
      <x:c r="B4" s="53" t="str">
        <x:v>DEMO</x:v>
      </x:c>
    </x:row>
    <x:row r="5">
      <x:c r="A5" t="str">
        <x:v>当前场景</x:v>
      </x:c>
      <x:c r="B5" s="53" t="str">
        <x:v>基准</x:v>
      </x:c>
    </x:row>
    <x:row r="6">
      <x:c r="A6" t="str">
        <x:v>估值基准日</x:v>
      </x:c>
      <x:c r="B6" s="116" t="n">
        <x:v>46203</x:v>
      </x:c>
    </x:row>
    <x:row r="7">
      <x:c r="A7" t="str">
        <x:v>估值币种</x:v>
      </x:c>
      <x:c r="B7" s="53" t="str">
        <x:v>人民币（CNY）</x:v>
      </x:c>
    </x:row>
    <x:row r="8">
      <x:c r="A8" t="str">
        <x:v>金额单位</x:v>
      </x:c>
      <x:c r="B8" s="53" t="str">
        <x:v>百万元</x:v>
      </x:c>
    </x:row>
    <x:row r="9">
      <x:c r="A9" t="str">
        <x:v>当前股价</x:v>
      </x:c>
      <x:c r="B9" s="10" t="n">
        <x:f>IF('股本与市值桥'!$B$9=0,"",'股本与市值桥'!$I$16/'股本与市值桥'!$B$9)</x:f>
        <x:v>25</x:v>
      </x:c>
    </x:row>
    <x:row r="11">
      <x:c r="A11" s="9" t="str">
        <x:v>加权平均资本成本（WACC）构成</x:v>
      </x:c>
      <x:c r="F11" s="9" t="str">
        <x:v>运营及股权桥接假设</x:v>
      </x:c>
    </x:row>
    <x:row r="12">
      <x:c r="A12" t="str">
        <x:v>无风险利率（Rf）</x:v>
      </x:c>
      <x:c r="B12" s="128" t="n">
        <x:v>0.025</x:v>
      </x:c>
      <x:c r="F12" t="str">
        <x:v>折旧与摊销（D&amp;A）/收入</x:v>
      </x:c>
      <x:c r="G12" s="128" t="n">
        <x:v>0.038</x:v>
      </x:c>
    </x:row>
    <x:row r="13">
      <x:c r="A13" t="str">
        <x:v>贝塔系数（Beta）</x:v>
      </x:c>
      <x:c r="B13" s="129" t="n">
        <x:v>1.05</x:v>
      </x:c>
      <x:c r="F13" t="str">
        <x:v>资本性支出（Capex）/收入</x:v>
      </x:c>
      <x:c r="G13" s="128" t="n">
        <x:v>0.047</x:v>
      </x:c>
    </x:row>
    <x:row r="14">
      <x:c r="A14" t="str">
        <x:v>股权风险溢价（ERP）</x:v>
      </x:c>
      <x:c r="B14" s="128" t="n">
        <x:v>0.055</x:v>
      </x:c>
      <x:c r="F14" t="str">
        <x:v>经营性净营运资本增加（ΔNWC）/增量收入</x:v>
      </x:c>
      <x:c r="G14" s="128" t="n">
        <x:v>0.15</x:v>
      </x:c>
    </x:row>
    <x:row r="15">
      <x:c r="A15" t="str">
        <x:v>国家风险溢价（CRP）</x:v>
      </x:c>
      <x:c r="B15" s="128" t="n">
        <x:v>0</x:v>
      </x:c>
      <x:c r="F15" t="str">
        <x:v>可扣现金</x:v>
      </x:c>
      <x:c r="G15" s="117" t="n">
        <x:v>200</x:v>
      </x:c>
    </x:row>
    <x:row r="16">
      <x:c r="A16" t="str">
        <x:v>规模溢价</x:v>
      </x:c>
      <x:c r="B16" s="128" t="n">
        <x:v>0</x:v>
      </x:c>
      <x:c r="F16" t="str">
        <x:v>非经营投资</x:v>
      </x:c>
      <x:c r="G16" s="117" t="n">
        <x:v>25</x:v>
      </x:c>
    </x:row>
    <x:row r="17">
      <x:c r="A17" t="str">
        <x:v>其他股权溢价</x:v>
      </x:c>
      <x:c r="B17" s="128" t="n">
        <x:v>0</x:v>
      </x:c>
      <x:c r="F17" t="str">
        <x:v>联营/合营价值</x:v>
      </x:c>
      <x:c r="G17" s="117" t="n">
        <x:v>0</x:v>
      </x:c>
    </x:row>
    <x:row r="18">
      <x:c r="A18" t="str">
        <x:v>税前债务成本</x:v>
      </x:c>
      <x:c r="B18" s="128" t="n">
        <x:v>0.04</x:v>
      </x:c>
      <x:c r="F18" t="str">
        <x:v>有息债务</x:v>
      </x:c>
      <x:c r="G18" s="117" t="n">
        <x:v>300</x:v>
      </x:c>
    </x:row>
    <x:row r="19">
      <x:c r="A19" t="str">
        <x:v>边际税率</x:v>
      </x:c>
      <x:c r="B19" s="128" t="n">
        <x:v>0.25</x:v>
      </x:c>
      <x:c r="F19" t="str">
        <x:v>租赁负债</x:v>
      </x:c>
      <x:c r="G19" s="117" t="n">
        <x:v>20</x:v>
      </x:c>
    </x:row>
    <x:row r="20">
      <x:c r="A20" t="str">
        <x:v>股权权重</x:v>
      </x:c>
      <x:c r="B20" s="128" t="n">
        <x:v>0.8</x:v>
      </x:c>
      <x:c r="F20" t="str">
        <x:v>养老金缺口</x:v>
      </x:c>
      <x:c r="G20" s="117" t="n">
        <x:v>0</x:v>
      </x:c>
    </x:row>
    <x:row r="21">
      <x:c r="A21" t="str">
        <x:v>债务权重</x:v>
      </x:c>
      <x:c r="B21" s="128" t="n">
        <x:v>0.2</x:v>
      </x:c>
      <x:c r="F21" t="str">
        <x:v>优先股</x:v>
      </x:c>
      <x:c r="G21" s="117" t="n">
        <x:v>0</x:v>
      </x:c>
    </x:row>
    <x:row r="22">
      <x:c r="A22" t="str">
        <x:v>基础加权平均资本成本（WACC）</x:v>
      </x:c>
      <x:c r="B22" s="119" t="n">
        <x:f>IF(B23&lt;&gt;"",B23,B20/(B20+B21)*(B12+B13*B14+IF(B15="",0,B15)+IF(B16="",0,B16)+IF(B17="",0,B17))+B21/(B20+B21)*B18*(1-B19))</x:f>
        <x:v>0.07220000000000001</x:v>
      </x:c>
      <x:c r="F22" t="str">
        <x:v>少数股东权益</x:v>
      </x:c>
      <x:c r="G22" s="117" t="n">
        <x:v>10</x:v>
      </x:c>
    </x:row>
    <x:row r="23">
      <x:c r="A23" t="str">
        <x:v>直接WACC输入（仅示例模型）</x:v>
      </x:c>
      <x:c r="B23" s="128"/>
      <x:c r="F23" t="str">
        <x:v>其他索取权</x:v>
      </x:c>
      <x:c r="G23" s="117" t="n">
        <x:v>0</x:v>
      </x:c>
    </x:row>
    <x:row r="24">
      <x:c r="F24" t="str">
        <x:v>完全稀释股份数</x:v>
      </x:c>
      <x:c r="G24" s="131" t="n">
        <x:f>'股本与市值桥'!$B$9</x:f>
        <x:v>100</x:v>
      </x:c>
    </x:row>
    <x:row r="25">
      <x:c r="A25" s="9" t="str">
        <x:v>场景假设</x:v>
      </x:c>
      <x:c r="F25" t="str">
        <x:v>来源编号</x:v>
      </x:c>
      <x:c r="G25" s="53" t="str">
        <x:v>SRC-DEMO</x:v>
      </x:c>
    </x:row>
    <x:row r="26">
      <x:c r="A26" s="46" t="str">
        <x:v>假设</x:v>
      </x:c>
      <x:c r="B26" s="51" t="str">
        <x:v>悲观</x:v>
      </x:c>
      <x:c r="C26" s="51" t="str">
        <x:v>基准</x:v>
      </x:c>
      <x:c r="D26" s="47" t="str">
        <x:v>乐观</x:v>
      </x:c>
    </x:row>
    <x:row r="27">
      <x:c r="A27" t="str">
        <x:v>2027E 收入增长</x:v>
      </x:c>
      <x:c r="B27" s="128" t="n">
        <x:v>0.08</x:v>
      </x:c>
      <x:c r="C27" s="128" t="n">
        <x:v>0.12</x:v>
      </x:c>
      <x:c r="D27" s="128" t="n">
        <x:v>0.16</x:v>
      </x:c>
    </x:row>
    <x:row r="28">
      <x:c r="A28" t="str">
        <x:v>2028E 收入增长</x:v>
      </x:c>
      <x:c r="B28" s="128" t="n">
        <x:v>0.05</x:v>
      </x:c>
      <x:c r="C28" s="128" t="n">
        <x:v>0.1</x:v>
      </x:c>
      <x:c r="D28" s="128" t="n">
        <x:v>0.14</x:v>
      </x:c>
    </x:row>
    <x:row r="29">
      <x:c r="A29" t="str">
        <x:v>2029E 收入增长</x:v>
      </x:c>
      <x:c r="B29" s="128" t="n">
        <x:v>0.04</x:v>
      </x:c>
      <x:c r="C29" s="128" t="n">
        <x:v>0.08</x:v>
      </x:c>
      <x:c r="D29" s="128" t="n">
        <x:v>0.12</x:v>
      </x:c>
    </x:row>
    <x:row r="30">
      <x:c r="A30" t="str">
        <x:v>2030E 收入增长</x:v>
      </x:c>
      <x:c r="B30" s="128" t="n">
        <x:v>0.03</x:v>
      </x:c>
      <x:c r="C30" s="128" t="n">
        <x:v>0.06</x:v>
      </x:c>
      <x:c r="D30" s="128" t="n">
        <x:v>0.08</x:v>
      </x:c>
    </x:row>
    <x:row r="31">
      <x:c r="A31" t="str">
        <x:v>2031E 收入增长</x:v>
      </x:c>
      <x:c r="B31" s="128" t="n">
        <x:v>0.02</x:v>
      </x:c>
      <x:c r="C31" s="128" t="n">
        <x:v>0.05</x:v>
      </x:c>
      <x:c r="D31" s="128" t="n">
        <x:v>0.06</x:v>
      </x:c>
    </x:row>
    <x:row r="32">
      <x:c r="A32" t="str">
        <x:v>2027E 息税前利润率（EBIT利润率）</x:v>
      </x:c>
      <x:c r="B32" s="128" t="n">
        <x:v>0.125</x:v>
      </x:c>
      <x:c r="C32" s="128" t="n">
        <x:v>0.14</x:v>
      </x:c>
      <x:c r="D32" s="128" t="n">
        <x:v>0.15</x:v>
      </x:c>
    </x:row>
    <x:row r="33">
      <x:c r="A33" t="str">
        <x:v>2028E 息税前利润率（EBIT利润率）</x:v>
      </x:c>
      <x:c r="B33" s="128" t="n">
        <x:v>0.13</x:v>
      </x:c>
      <x:c r="C33" s="128" t="n">
        <x:v>0.15</x:v>
      </x:c>
      <x:c r="D33" s="128" t="n">
        <x:v>0.165</x:v>
      </x:c>
    </x:row>
    <x:row r="34">
      <x:c r="A34" t="str">
        <x:v>2029E 息税前利润率（EBIT利润率）</x:v>
      </x:c>
      <x:c r="B34" s="128" t="n">
        <x:v>0.135</x:v>
      </x:c>
      <x:c r="C34" s="128" t="n">
        <x:v>0.16</x:v>
      </x:c>
      <x:c r="D34" s="128" t="n">
        <x:v>0.18</x:v>
      </x:c>
    </x:row>
    <x:row r="35">
      <x:c r="A35" t="str">
        <x:v>2030E 息税前利润率（EBIT利润率）</x:v>
      </x:c>
      <x:c r="B35" s="128" t="n">
        <x:v>0.138</x:v>
      </x:c>
      <x:c r="C35" s="128" t="n">
        <x:v>0.165</x:v>
      </x:c>
      <x:c r="D35" s="128" t="n">
        <x:v>0.19</x:v>
      </x:c>
    </x:row>
    <x:row r="36">
      <x:c r="A36" t="str">
        <x:v>2031E 息税前利润率（EBIT利润率）</x:v>
      </x:c>
      <x:c r="B36" s="128" t="n">
        <x:v>0.14</x:v>
      </x:c>
      <x:c r="C36" s="128" t="n">
        <x:v>0.17</x:v>
      </x:c>
      <x:c r="D36" s="128" t="n">
        <x:v>0.195</x:v>
      </x:c>
    </x:row>
    <x:row r="37">
      <x:c r="A37" t="str">
        <x:v>2027E 折旧与摊销/收入</x:v>
      </x:c>
      <x:c r="B37" s="128" t="n">
        <x:v>0.039</x:v>
      </x:c>
      <x:c r="C37" s="128" t="n">
        <x:v>0.038</x:v>
      </x:c>
      <x:c r="D37" s="128" t="n">
        <x:v>0.038</x:v>
      </x:c>
    </x:row>
    <x:row r="38">
      <x:c r="A38" t="str">
        <x:v>2028E 折旧与摊销/收入</x:v>
      </x:c>
      <x:c r="B38" s="128" t="n">
        <x:v>0.039</x:v>
      </x:c>
      <x:c r="C38" s="128" t="n">
        <x:v>0.038</x:v>
      </x:c>
      <x:c r="D38" s="128" t="n">
        <x:v>0.038</x:v>
      </x:c>
    </x:row>
    <x:row r="39">
      <x:c r="A39" t="str">
        <x:v>2029E 折旧与摊销/收入</x:v>
      </x:c>
      <x:c r="B39" s="128" t="n">
        <x:v>0.038</x:v>
      </x:c>
      <x:c r="C39" s="128" t="n">
        <x:v>0.038</x:v>
      </x:c>
      <x:c r="D39" s="128" t="n">
        <x:v>0.038</x:v>
      </x:c>
    </x:row>
    <x:row r="40">
      <x:c r="A40" t="str">
        <x:v>2030E 折旧与摊销/收入</x:v>
      </x:c>
      <x:c r="B40" s="128" t="n">
        <x:v>0.038</x:v>
      </x:c>
      <x:c r="C40" s="128" t="n">
        <x:v>0.038</x:v>
      </x:c>
      <x:c r="D40" s="128" t="n">
        <x:v>0.038</x:v>
      </x:c>
    </x:row>
    <x:row r="41">
      <x:c r="A41" t="str">
        <x:v>2031E 折旧与摊销/收入</x:v>
      </x:c>
      <x:c r="B41" s="128" t="n">
        <x:v>0.038</x:v>
      </x:c>
      <x:c r="C41" s="128" t="n">
        <x:v>0.037</x:v>
      </x:c>
      <x:c r="D41" s="128" t="n">
        <x:v>0.037</x:v>
      </x:c>
    </x:row>
    <x:row r="42">
      <x:c r="A42" t="str">
        <x:v>2027E 资本性支出/收入</x:v>
      </x:c>
      <x:c r="B42" s="128" t="n">
        <x:v>0.057</x:v>
      </x:c>
      <x:c r="C42" s="128" t="n">
        <x:v>0.047</x:v>
      </x:c>
      <x:c r="D42" s="128" t="n">
        <x:v>0.059</x:v>
      </x:c>
    </x:row>
    <x:row r="43">
      <x:c r="A43" t="str">
        <x:v>2028E 资本性支出/收入</x:v>
      </x:c>
      <x:c r="B43" s="128" t="n">
        <x:v>0.053</x:v>
      </x:c>
      <x:c r="C43" s="128" t="n">
        <x:v>0.047</x:v>
      </x:c>
      <x:c r="D43" s="128" t="n">
        <x:v>0.056</x:v>
      </x:c>
    </x:row>
    <x:row r="44">
      <x:c r="A44" t="str">
        <x:v>2029E 资本性支出/收入</x:v>
      </x:c>
      <x:c r="B44" s="128" t="n">
        <x:v>0.049</x:v>
      </x:c>
      <x:c r="C44" s="128" t="n">
        <x:v>0.046</x:v>
      </x:c>
      <x:c r="D44" s="128" t="n">
        <x:v>0.053</x:v>
      </x:c>
    </x:row>
    <x:row r="45">
      <x:c r="A45" t="str">
        <x:v>2030E 资本性支出/收入</x:v>
      </x:c>
      <x:c r="B45" s="128" t="n">
        <x:v>0.046</x:v>
      </x:c>
      <x:c r="C45" s="128" t="n">
        <x:v>0.045</x:v>
      </x:c>
      <x:c r="D45" s="128" t="n">
        <x:v>0.049</x:v>
      </x:c>
    </x:row>
    <x:row r="46">
      <x:c r="A46" t="str">
        <x:v>2031E 资本性支出/收入</x:v>
      </x:c>
      <x:c r="B46" s="128" t="n">
        <x:v>0.044</x:v>
      </x:c>
      <x:c r="C46" s="128" t="n">
        <x:v>0.045</x:v>
      </x:c>
      <x:c r="D46" s="128" t="n">
        <x:v>0.045</x:v>
      </x:c>
    </x:row>
    <x:row r="47">
      <x:c r="A47" t="str">
        <x:v>2027E 经营性净营运资本增加（ΔNWC）</x:v>
      </x:c>
      <x:c r="B47" s="117" t="n">
        <x:v>12</x:v>
      </x:c>
      <x:c r="C47" s="117" t="n">
        <x:v>18</x:v>
      </x:c>
      <x:c r="D47" s="117" t="n">
        <x:v>24</x:v>
      </x:c>
    </x:row>
    <x:row r="48">
      <x:c r="A48" t="str">
        <x:v>2028E 经营性净营运资本增加（ΔNWC）</x:v>
      </x:c>
      <x:c r="B48" s="117" t="n">
        <x:v>8</x:v>
      </x:c>
      <x:c r="C48" s="117" t="n">
        <x:v>17</x:v>
      </x:c>
      <x:c r="D48" s="117" t="n">
        <x:v>24</x:v>
      </x:c>
    </x:row>
    <x:row r="49">
      <x:c r="A49" t="str">
        <x:v>2029E 经营性净营运资本增加（ΔNWC）</x:v>
      </x:c>
      <x:c r="B49" s="117" t="n">
        <x:v>7</x:v>
      </x:c>
      <x:c r="C49" s="117" t="n">
        <x:v>15</x:v>
      </x:c>
      <x:c r="D49" s="117" t="n">
        <x:v>24</x:v>
      </x:c>
    </x:row>
    <x:row r="50">
      <x:c r="A50" t="str">
        <x:v>2030E 经营性净营运资本增加（ΔNWC）</x:v>
      </x:c>
      <x:c r="B50" s="117" t="n">
        <x:v>5</x:v>
      </x:c>
      <x:c r="C50" s="117" t="n">
        <x:v>12</x:v>
      </x:c>
      <x:c r="D50" s="117" t="n">
        <x:v>18</x:v>
      </x:c>
    </x:row>
    <x:row r="51">
      <x:c r="A51" t="str">
        <x:v>2031E 经营性净营运资本增加（ΔNWC）</x:v>
      </x:c>
      <x:c r="B51" s="117" t="n">
        <x:v>4</x:v>
      </x:c>
      <x:c r="C51" s="117" t="n">
        <x:v>11</x:v>
      </x:c>
      <x:c r="D51" s="117" t="n">
        <x:v>14</x:v>
      </x:c>
    </x:row>
    <x:row r="52">
      <x:c r="A52" t="str">
        <x:v>2027E 其他非现金调整</x:v>
      </x:c>
      <x:c r="B52" s="117" t="n">
        <x:v>0</x:v>
      </x:c>
      <x:c r="C52" s="117" t="n">
        <x:v>0</x:v>
      </x:c>
      <x:c r="D52" s="117" t="n">
        <x:v>0</x:v>
      </x:c>
    </x:row>
    <x:row r="53">
      <x:c r="A53" t="str">
        <x:v>2028E 其他非现金调整</x:v>
      </x:c>
      <x:c r="B53" s="117" t="n">
        <x:v>0</x:v>
      </x:c>
      <x:c r="C53" s="117" t="n">
        <x:v>0</x:v>
      </x:c>
      <x:c r="D53" s="117" t="n">
        <x:v>0</x:v>
      </x:c>
    </x:row>
    <x:row r="54">
      <x:c r="A54" t="str">
        <x:v>2029E 其他非现金调整</x:v>
      </x:c>
      <x:c r="B54" s="117" t="n">
        <x:v>0</x:v>
      </x:c>
      <x:c r="C54" s="117" t="n">
        <x:v>0</x:v>
      </x:c>
      <x:c r="D54" s="117" t="n">
        <x:v>0</x:v>
      </x:c>
    </x:row>
    <x:row r="55">
      <x:c r="A55" t="str">
        <x:v>2030E 其他非现金调整</x:v>
      </x:c>
      <x:c r="B55" s="117" t="n">
        <x:v>0</x:v>
      </x:c>
      <x:c r="C55" s="117" t="n">
        <x:v>0</x:v>
      </x:c>
      <x:c r="D55" s="117" t="n">
        <x:v>0</x:v>
      </x:c>
    </x:row>
    <x:row r="56">
      <x:c r="A56" t="str">
        <x:v>2031E 其他非现金调整</x:v>
      </x:c>
      <x:c r="B56" s="117" t="n">
        <x:v>0</x:v>
      </x:c>
      <x:c r="C56" s="117" t="n">
        <x:v>0</x:v>
      </x:c>
      <x:c r="D56" s="117" t="n">
        <x:v>0</x:v>
      </x:c>
    </x:row>
    <x:row r="57">
      <x:c r="A57" t="str">
        <x:v>2027E 其他经营性投资</x:v>
      </x:c>
      <x:c r="B57" s="117" t="n">
        <x:v>0</x:v>
      </x:c>
      <x:c r="C57" s="117" t="n">
        <x:v>0</x:v>
      </x:c>
      <x:c r="D57" s="117" t="n">
        <x:v>0</x:v>
      </x:c>
    </x:row>
    <x:row r="58">
      <x:c r="A58" t="str">
        <x:v>2028E 其他经营性投资</x:v>
      </x:c>
      <x:c r="B58" s="117" t="n">
        <x:v>0</x:v>
      </x:c>
      <x:c r="C58" s="117" t="n">
        <x:v>0</x:v>
      </x:c>
      <x:c r="D58" s="117" t="n">
        <x:v>0</x:v>
      </x:c>
    </x:row>
    <x:row r="59">
      <x:c r="A59" t="str">
        <x:v>2029E 其他经营性投资</x:v>
      </x:c>
      <x:c r="B59" s="117" t="n">
        <x:v>0</x:v>
      </x:c>
      <x:c r="C59" s="117" t="n">
        <x:v>0</x:v>
      </x:c>
      <x:c r="D59" s="117" t="n">
        <x:v>0</x:v>
      </x:c>
    </x:row>
    <x:row r="60">
      <x:c r="A60" t="str">
        <x:v>2030E 其他经营性投资</x:v>
      </x:c>
      <x:c r="B60" s="117" t="n">
        <x:v>0</x:v>
      </x:c>
      <x:c r="C60" s="117" t="n">
        <x:v>0</x:v>
      </x:c>
      <x:c r="D60" s="117" t="n">
        <x:v>0</x:v>
      </x:c>
    </x:row>
    <x:row r="61">
      <x:c r="A61" t="str">
        <x:v>2031E 其他经营性投资</x:v>
      </x:c>
      <x:c r="B61" s="117" t="n">
        <x:v>0</x:v>
      </x:c>
      <x:c r="C61" s="117" t="n">
        <x:v>0</x:v>
      </x:c>
      <x:c r="D61" s="117" t="n">
        <x:v>0</x:v>
      </x:c>
    </x:row>
    <x:row r="62">
      <x:c r="A62" t="str">
        <x:v>2027E 现金税率</x:v>
      </x:c>
      <x:c r="B62" s="128" t="n">
        <x:v>0.25</x:v>
      </x:c>
      <x:c r="C62" s="128" t="n">
        <x:v>0.25</x:v>
      </x:c>
      <x:c r="D62" s="128" t="n">
        <x:v>0.24</x:v>
      </x:c>
    </x:row>
    <x:row r="63">
      <x:c r="A63" t="str">
        <x:v>2028E 现金税率</x:v>
      </x:c>
      <x:c r="B63" s="128" t="n">
        <x:v>0.25</x:v>
      </x:c>
      <x:c r="C63" s="128" t="n">
        <x:v>0.25</x:v>
      </x:c>
      <x:c r="D63" s="128" t="n">
        <x:v>0.24</x:v>
      </x:c>
    </x:row>
    <x:row r="64">
      <x:c r="A64" t="str">
        <x:v>2029E 现金税率</x:v>
      </x:c>
      <x:c r="B64" s="128" t="n">
        <x:v>0.25</x:v>
      </x:c>
      <x:c r="C64" s="128" t="n">
        <x:v>0.25</x:v>
      </x:c>
      <x:c r="D64" s="128" t="n">
        <x:v>0.24</x:v>
      </x:c>
    </x:row>
    <x:row r="65">
      <x:c r="A65" t="str">
        <x:v>2030E 现金税率</x:v>
      </x:c>
      <x:c r="B65" s="128" t="n">
        <x:v>0.25</x:v>
      </x:c>
      <x:c r="C65" s="128" t="n">
        <x:v>0.25</x:v>
      </x:c>
      <x:c r="D65" s="128" t="n">
        <x:v>0.24</x:v>
      </x:c>
    </x:row>
    <x:row r="66">
      <x:c r="A66" t="str">
        <x:v>2031E 现金税率</x:v>
      </x:c>
      <x:c r="B66" s="128" t="n">
        <x:v>0.25</x:v>
      </x:c>
      <x:c r="C66" s="128" t="n">
        <x:v>0.25</x:v>
      </x:c>
      <x:c r="D66" s="128" t="n">
        <x:v>0.24</x:v>
      </x:c>
    </x:row>
    <x:row r="67">
      <x:c r="A67" t="str">
        <x:v>2027E 折现时点</x:v>
      </x:c>
      <x:c r="B67" s="130" t="n">
        <x:v>0.5</x:v>
      </x:c>
      <x:c r="C67" s="130" t="n">
        <x:v>0.5</x:v>
      </x:c>
      <x:c r="D67" s="130" t="n">
        <x:v>0.5</x:v>
      </x:c>
    </x:row>
    <x:row r="68">
      <x:c r="A68" t="str">
        <x:v>2028E 折现时点</x:v>
      </x:c>
      <x:c r="B68" s="130" t="n">
        <x:v>1.5</x:v>
      </x:c>
      <x:c r="C68" s="130" t="n">
        <x:v>1.5</x:v>
      </x:c>
      <x:c r="D68" s="130" t="n">
        <x:v>1.5</x:v>
      </x:c>
    </x:row>
    <x:row r="69">
      <x:c r="A69" t="str">
        <x:v>2029E 折现时点</x:v>
      </x:c>
      <x:c r="B69" s="130" t="n">
        <x:v>2.5</x:v>
      </x:c>
      <x:c r="C69" s="130" t="n">
        <x:v>2.5</x:v>
      </x:c>
      <x:c r="D69" s="130" t="n">
        <x:v>2.5</x:v>
      </x:c>
    </x:row>
    <x:row r="70">
      <x:c r="A70" t="str">
        <x:v>2030E 折现时点</x:v>
      </x:c>
      <x:c r="B70" s="130" t="n">
        <x:v>3.5</x:v>
      </x:c>
      <x:c r="C70" s="130" t="n">
        <x:v>3.5</x:v>
      </x:c>
      <x:c r="D70" s="130" t="n">
        <x:v>3.5</x:v>
      </x:c>
    </x:row>
    <x:row r="71">
      <x:c r="A71" t="str">
        <x:v>2031E 折现时点</x:v>
      </x:c>
      <x:c r="B71" s="130" t="n">
        <x:v>4.5</x:v>
      </x:c>
      <x:c r="C71" s="130" t="n">
        <x:v>4.5</x:v>
      </x:c>
      <x:c r="D71" s="130" t="n">
        <x:v>4.5</x:v>
      </x:c>
    </x:row>
    <x:row r="72">
      <x:c r="A72" t="str">
        <x:v>加权平均资本成本（WACC）调整</x:v>
      </x:c>
      <x:c r="B72" s="128" t="n">
        <x:v>0.01</x:v>
      </x:c>
      <x:c r="C72" s="128" t="n">
        <x:v>0</x:v>
      </x:c>
      <x:c r="D72" s="128" t="n">
        <x:v>-0.005</x:v>
      </x:c>
    </x:row>
    <x:row r="73">
      <x:c r="A73" t="str">
        <x:v>永续增长率（g）</x:v>
      </x:c>
      <x:c r="B73" s="128" t="n">
        <x:v>0.015</x:v>
      </x:c>
      <x:c r="C73" s="128" t="n">
        <x:v>0.025</x:v>
      </x:c>
      <x:c r="D73" s="128" t="n">
        <x:v>0.03</x:v>
      </x:c>
    </x:row>
    <x:row r="74">
      <x:c r="A74" t="str">
        <x:v>终值折现时点</x:v>
      </x:c>
      <x:c r="B74" s="130" t="n">
        <x:v>5</x:v>
      </x:c>
      <x:c r="C74" s="130" t="n">
        <x:v>5</x:v>
      </x:c>
      <x:c r="D74" s="130" t="n">
        <x:v>5</x:v>
      </x:c>
    </x:row>
    <x:row r="75">
      <x:c r="A75" t="str">
        <x:v>终值FCFF覆盖值（空白则取末期FCFF）</x:v>
      </x:c>
      <x:c r="B75" s="117" t="str"/>
      <x:c r="C75" s="117" t="str"/>
      <x:c r="D75" s="117" t="str"/>
    </x:row>
    <x:row r="78">
      <x:c r="A78" s="37" t="str">
        <x:v>专业提示：输入可硬编码在假设区，计算结果不得硬编码。逐年税率、其他非现金调整、其他经营性投资、折现时点、终值折现时点和终值FCFF必须由标准化输入完整映射；永续增长率必须低于加权平均资本成本（WACC）。</x:v>
      </x:c>
      <x:c r="B78" s="37"/>
      <x:c r="C78" s="37"/>
      <x:c r="D78" s="37"/>
      <x:c r="E78" s="37"/>
      <x:c r="F78" s="37"/>
      <x:c r="G78" s="37"/>
      <x:c r="H78" s="37"/>
    </x:row>
    <x:row r="79">
      <x:c r="A79" s="37"/>
      <x:c r="B79" s="37"/>
      <x:c r="C79" s="37"/>
      <x:c r="D79" s="37"/>
      <x:c r="E79" s="37"/>
      <x:c r="F79" s="37"/>
      <x:c r="G79" s="37"/>
      <x:c r="H79" s="37"/>
    </x:row>
    <x:row r="80">
      <x:c r="A80" s="37"/>
      <x:c r="B80" s="37"/>
      <x:c r="C80" s="37"/>
      <x:c r="D80" s="37"/>
      <x:c r="E80" s="37"/>
      <x:c r="F80" s="37"/>
      <x:c r="G80" s="37"/>
      <x:c r="H80" s="37"/>
    </x:row>
  </x:sheetData>
  <x:mergeCells>
    <x:mergeCell ref="A1:H1"/>
    <x:mergeCell ref="A11:D11"/>
    <x:mergeCell ref="A25:D25"/>
    <x:mergeCell ref="F11:H11"/>
    <x:mergeCell ref="A78:H80"/>
  </x:mergeCells>
  <x:dataValidations count="1">
    <x:dataValidation type="list" sqref="B5">
      <x:formula1>"悲观,基准,乐观"</x:formula1>
    </x:dataValidation>
  </x:dataValidations>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38"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s>
  <x:sheetData>
    <x:row r="1" ht="28" customHeight="1">
      <x:c r="A1" s="4" t="str">
        <x:v>经营预测与企业自由现金流（FCFF）</x:v>
      </x:c>
    </x:row>
    <x:row r="3">
      <x:c r="A3" s="46" t="str">
        <x:v>人民币百万元</x:v>
      </x:c>
      <x:c r="B3" s="51" t="str">
        <x:v>2024A</x:v>
      </x:c>
      <x:c r="C3" s="51" t="str">
        <x:v>2025A</x:v>
      </x:c>
      <x:c r="D3" s="51" t="str">
        <x:v>2026A</x:v>
      </x:c>
      <x:c r="E3" s="51" t="str">
        <x:v>2027E</x:v>
      </x:c>
      <x:c r="F3" s="51" t="str">
        <x:v>2028E</x:v>
      </x:c>
      <x:c r="G3" s="51" t="str">
        <x:v>2029E</x:v>
      </x:c>
      <x:c r="H3" s="51" t="str">
        <x:v>2030E</x:v>
      </x:c>
      <x:c r="I3" s="47" t="str">
        <x:v>2031E</x:v>
      </x:c>
    </x:row>
    <x:row r="5">
      <x:c r="A5" t="str">
        <x:v>收入</x:v>
      </x:c>
      <x:c r="B5" s="118" t="n">
        <x:v>800</x:v>
      </x:c>
      <x:c r="C5" s="118" t="n">
        <x:v>900</x:v>
      </x:c>
      <x:c r="D5" s="118" t="n">
        <x:v>1000</x:v>
      </x:c>
      <x:c r="E5" s="134" t="n">
        <x:f>D5*(1+E6)</x:f>
        <x:v>1120</x:v>
      </x:c>
      <x:c r="F5" s="134" t="n">
        <x:f>E5*(1+F6)</x:f>
        <x:v>1232</x:v>
      </x:c>
      <x:c r="G5" s="134" t="n">
        <x:f>F5*(1+G6)</x:f>
        <x:v>1330.5600000000002</x:v>
      </x:c>
      <x:c r="H5" s="134" t="n">
        <x:f>G5*(1+H6)</x:f>
        <x:v>1410.3936000000003</x:v>
      </x:c>
      <x:c r="I5" s="134" t="n">
        <x:f>H5*(1+I6)</x:f>
        <x:v>1480.9132800000004</x:v>
      </x:c>
    </x:row>
    <x:row r="6">
      <x:c r="A6" t="str">
        <x:v>收入增长</x:v>
      </x:c>
      <x:c r="B6" s="119"/>
      <x:c r="C6" s="119" t="n">
        <x:v>0.125</x:v>
      </x:c>
      <x:c r="D6" s="119" t="n">
        <x:v>0.1111111111</x:v>
      </x:c>
      <x:c r="E6" s="11" t="n">
        <x:f>IF('估值假设'!$B$5="悲观",'估值假设'!$B$27,IF('估值假设'!$B$5="乐观",'估值假设'!$D$27,'估值假设'!$C$27))</x:f>
        <x:v>0.12</x:v>
      </x:c>
      <x:c r="F6" s="11" t="n">
        <x:f>IF('估值假设'!$B$5="悲观",'估值假设'!$B$28,IF('估值假设'!$B$5="乐观",'估值假设'!$D$28,'估值假设'!$C$28))</x:f>
        <x:v>0.1</x:v>
      </x:c>
      <x:c r="G6" s="11" t="n">
        <x:f>IF('估值假设'!$B$5="悲观",'估值假设'!$B$29,IF('估值假设'!$B$5="乐观",'估值假设'!$D$29,'估值假设'!$C$29))</x:f>
        <x:v>0.08</x:v>
      </x:c>
      <x:c r="H6" s="11" t="n">
        <x:f>IF('估值假设'!$B$5="悲观",'估值假设'!$B$30,IF('估值假设'!$B$5="乐观",'估值假设'!$D$30,'估值假设'!$C$30))</x:f>
        <x:v>0.06</x:v>
      </x:c>
      <x:c r="I6" s="11" t="n">
        <x:f>IF('估值假设'!$B$5="悲观",'估值假设'!$B$31,IF('估值假设'!$B$5="乐观",'估值假设'!$D$31,'估值假设'!$C$31))</x:f>
        <x:v>0.05</x:v>
      </x:c>
    </x:row>
    <x:row r="7">
      <x:c r="A7" t="str">
        <x:v>息税前利润率（EBIT利润率）</x:v>
      </x:c>
      <x:c r="B7" s="119" t="n">
        <x:v>0.12</x:v>
      </x:c>
      <x:c r="C7" s="119" t="n">
        <x:v>0.13</x:v>
      </x:c>
      <x:c r="D7" s="119" t="n">
        <x:v>0.135</x:v>
      </x:c>
      <x:c r="E7" s="11" t="n">
        <x:f>IF('估值假设'!$B$5="悲观",'估值假设'!$B$32,IF('估值假设'!$B$5="乐观",'估值假设'!$D$32,'估值假设'!$C$32))</x:f>
        <x:v>0.14</x:v>
      </x:c>
      <x:c r="F7" s="11" t="n">
        <x:f>IF('估值假设'!$B$5="悲观",'估值假设'!$B$33,IF('估值假设'!$B$5="乐观",'估值假设'!$D$33,'估值假设'!$C$33))</x:f>
        <x:v>0.15</x:v>
      </x:c>
      <x:c r="G7" s="11" t="n">
        <x:f>IF('估值假设'!$B$5="悲观",'估值假设'!$B$34,IF('估值假设'!$B$5="乐观",'估值假设'!$D$34,'估值假设'!$C$34))</x:f>
        <x:v>0.16</x:v>
      </x:c>
      <x:c r="H7" s="11" t="n">
        <x:f>IF('估值假设'!$B$5="悲观",'估值假设'!$B$35,IF('估值假设'!$B$5="乐观",'估值假设'!$D$35,'估值假设'!$C$35))</x:f>
        <x:v>0.165</x:v>
      </x:c>
      <x:c r="I7" s="11" t="n">
        <x:f>IF('估值假设'!$B$5="悲观",'估值假设'!$B$36,IF('估值假设'!$B$5="乐观",'估值假设'!$D$36,'估值假设'!$C$36))</x:f>
        <x:v>0.17</x:v>
      </x:c>
    </x:row>
    <x:row r="8">
      <x:c r="A8" t="str">
        <x:v>息税前利润（EBIT）</x:v>
      </x:c>
      <x:c r="B8" s="118" t="n">
        <x:v>96</x:v>
      </x:c>
      <x:c r="C8" s="118" t="n">
        <x:v>117</x:v>
      </x:c>
      <x:c r="D8" s="118" t="n">
        <x:v>135</x:v>
      </x:c>
      <x:c r="E8" s="134" t="n">
        <x:f>E5*E7</x:f>
        <x:v>156.8</x:v>
      </x:c>
      <x:c r="F8" s="134" t="n">
        <x:f>F5*F7</x:f>
        <x:v>184.79999999999998</x:v>
      </x:c>
      <x:c r="G8" s="134" t="n">
        <x:f>G5*G7</x:f>
        <x:v>212.88960000000003</x:v>
      </x:c>
      <x:c r="H8" s="134" t="n">
        <x:f>H5*H7</x:f>
        <x:v>232.71494400000006</x:v>
      </x:c>
      <x:c r="I8" s="134" t="n">
        <x:f>I5*I7</x:f>
        <x:v>251.7552576000001</x:v>
      </x:c>
    </x:row>
    <x:row r="9">
      <x:c r="A9" t="str">
        <x:v>现金税率</x:v>
      </x:c>
      <x:c r="B9" s="119" t="n">
        <x:v>0.25</x:v>
      </x:c>
      <x:c r="C9" s="119" t="n">
        <x:v>0.25</x:v>
      </x:c>
      <x:c r="D9" s="119" t="n">
        <x:v>0.25</x:v>
      </x:c>
      <x:c r="E9" s="11" t="n">
        <x:f>IF('估值假设'!$B$5="悲观",'估值假设'!$B$62,IF('估值假设'!$B$5="乐观",'估值假设'!$D$62,'估值假设'!$C$62))</x:f>
        <x:v>0.25</x:v>
      </x:c>
      <x:c r="F9" s="11" t="n">
        <x:f>IF('估值假设'!$B$5="悲观",'估值假设'!$B$63,IF('估值假设'!$B$5="乐观",'估值假设'!$D$63,'估值假设'!$C$63))</x:f>
        <x:v>0.25</x:v>
      </x:c>
      <x:c r="G9" s="11" t="n">
        <x:f>IF('估值假设'!$B$5="悲观",'估值假设'!$B$64,IF('估值假设'!$B$5="乐观",'估值假设'!$D$64,'估值假设'!$C$64))</x:f>
        <x:v>0.25</x:v>
      </x:c>
      <x:c r="H9" s="11" t="n">
        <x:f>IF('估值假设'!$B$5="悲观",'估值假设'!$B$65,IF('估值假设'!$B$5="乐观",'估值假设'!$D$65,'估值假设'!$C$65))</x:f>
        <x:v>0.25</x:v>
      </x:c>
      <x:c r="I9" s="11" t="n">
        <x:f>IF('估值假设'!$B$5="悲观",'估值假设'!$B$66,IF('估值假设'!$B$5="乐观",'估值假设'!$D$66,'估值假设'!$C$66))</x:f>
        <x:v>0.25</x:v>
      </x:c>
    </x:row>
    <x:row r="10">
      <x:c r="A10" t="str">
        <x:v>税后经营利润（NOPAT）</x:v>
      </x:c>
      <x:c r="B10" s="118" t="n">
        <x:v>72</x:v>
      </x:c>
      <x:c r="C10" s="118" t="n">
        <x:v>87.75</x:v>
      </x:c>
      <x:c r="D10" s="118" t="n">
        <x:v>101.25</x:v>
      </x:c>
      <x:c r="E10" s="134" t="n">
        <x:f>E8*(1-E9)</x:f>
        <x:v>117.60000000000001</x:v>
      </x:c>
      <x:c r="F10" s="134" t="n">
        <x:f>F8*(1-F9)</x:f>
        <x:v>138.6</x:v>
      </x:c>
      <x:c r="G10" s="134" t="n">
        <x:f>G8*(1-G9)</x:f>
        <x:v>159.66720000000004</x:v>
      </x:c>
      <x:c r="H10" s="134" t="n">
        <x:f>H8*(1-H9)</x:f>
        <x:v>174.53620800000004</x:v>
      </x:c>
      <x:c r="I10" s="134" t="n">
        <x:f>I8*(1-I9)</x:f>
        <x:v>188.8164432000001</x:v>
      </x:c>
    </x:row>
    <x:row r="11">
      <x:c r="A11" t="str">
        <x:v>折旧与摊销（D&amp;A）</x:v>
      </x:c>
      <x:c r="B11" s="118" t="n">
        <x:v>30</x:v>
      </x:c>
      <x:c r="C11" s="118" t="n">
        <x:v>35</x:v>
      </x:c>
      <x:c r="D11" s="118" t="n">
        <x:v>40</x:v>
      </x:c>
      <x:c r="E11" s="134" t="n">
        <x:f>E5*IF('估值假设'!$B$5="悲观",'估值假设'!$B$37,IF('估值假设'!$B$5="乐观",'估值假设'!$D$37,'估值假设'!$C$37))</x:f>
        <x:v>42.56</x:v>
      </x:c>
      <x:c r="F11" s="134" t="n">
        <x:f>F5*IF('估值假设'!$B$5="悲观",'估值假设'!$B$38,IF('估值假设'!$B$5="乐观",'估值假设'!$D$38,'估值假设'!$C$38))</x:f>
        <x:v>46.815999999999995</x:v>
      </x:c>
      <x:c r="G11" s="134" t="n">
        <x:f>G5*IF('估值假设'!$B$5="悲观",'估值假设'!$B$39,IF('估值假设'!$B$5="乐观",'估值假设'!$D$39,'估值假设'!$C$39))</x:f>
        <x:v>50.561280000000004</x:v>
      </x:c>
      <x:c r="H11" s="134" t="n">
        <x:f>H5*IF('估值假设'!$B$5="悲观",'估值假设'!$B$40,IF('估值假设'!$B$5="乐观",'估值假设'!$D$40,'估值假设'!$C$40))</x:f>
        <x:v>53.59495680000001</x:v>
      </x:c>
      <x:c r="I11" s="134" t="n">
        <x:f>I5*IF('估值假设'!$B$5="悲观",'估值假设'!$B$41,IF('估值假设'!$B$5="乐观",'估值假设'!$D$41,'估值假设'!$C$41))</x:f>
        <x:v>54.793791360000014</x:v>
      </x:c>
    </x:row>
    <x:row r="12">
      <x:c r="A12" t="str">
        <x:v>资本性支出（Capex）</x:v>
      </x:c>
      <x:c r="B12" s="118" t="n">
        <x:v>40</x:v>
      </x:c>
      <x:c r="C12" s="118" t="n">
        <x:v>45</x:v>
      </x:c>
      <x:c r="D12" s="118" t="n">
        <x:v>50</x:v>
      </x:c>
      <x:c r="E12" s="134" t="n">
        <x:f>E5*IF('估值假设'!$B$5="悲观",'估值假设'!$B$42,IF('估值假设'!$B$5="乐观",'估值假设'!$D$42,'估值假设'!$C$42))</x:f>
        <x:v>52.64</x:v>
      </x:c>
      <x:c r="F12" s="134" t="n">
        <x:f>F5*IF('估值假设'!$B$5="悲观",'估值假设'!$B$43,IF('估值假设'!$B$5="乐观",'估值假设'!$D$43,'估值假设'!$C$43))</x:f>
        <x:v>57.904</x:v>
      </x:c>
      <x:c r="G12" s="134" t="n">
        <x:f>G5*IF('估值假设'!$B$5="悲观",'估值假设'!$B$44,IF('估值假设'!$B$5="乐观",'估值假设'!$D$44,'估值假设'!$C$44))</x:f>
        <x:v>61.205760000000005</x:v>
      </x:c>
      <x:c r="H12" s="134" t="n">
        <x:f>H5*IF('估值假设'!$B$5="悲观",'估值假设'!$B$45,IF('估值假设'!$B$5="乐观",'估值假设'!$D$45,'估值假设'!$C$45))</x:f>
        <x:v>63.46771200000001</x:v>
      </x:c>
      <x:c r="I12" s="134" t="n">
        <x:f>I5*IF('估值假设'!$B$5="悲观",'估值假设'!$B$46,IF('估值假设'!$B$5="乐观",'估值假设'!$D$46,'估值假设'!$C$46))</x:f>
        <x:v>66.64109760000002</x:v>
      </x:c>
    </x:row>
    <x:row r="13">
      <x:c r="A13" t="str">
        <x:v>经营性净营运资本增加（ΔNWC）</x:v>
      </x:c>
      <x:c r="B13" s="118" t="n">
        <x:v>12</x:v>
      </x:c>
      <x:c r="C13" s="118" t="n">
        <x:v>15</x:v>
      </x:c>
      <x:c r="D13" s="118" t="n">
        <x:v>15</x:v>
      </x:c>
      <x:c r="E13" s="134" t="n">
        <x:f>IF('估值假设'!$B$5="悲观",'估值假设'!$B$47,IF('估值假设'!$B$5="乐观",'估值假设'!$D$47,'估值假设'!$C$47))</x:f>
        <x:v>18</x:v>
      </x:c>
      <x:c r="F13" s="134" t="n">
        <x:f>IF('估值假设'!$B$5="悲观",'估值假设'!$B$48,IF('估值假设'!$B$5="乐观",'估值假设'!$D$48,'估值假设'!$C$48))</x:f>
        <x:v>17</x:v>
      </x:c>
      <x:c r="G13" s="134" t="n">
        <x:f>IF('估值假设'!$B$5="悲观",'估值假设'!$B$49,IF('估值假设'!$B$5="乐观",'估值假设'!$D$49,'估值假设'!$C$49))</x:f>
        <x:v>15</x:v>
      </x:c>
      <x:c r="H13" s="134" t="n">
        <x:f>IF('估值假设'!$B$5="悲观",'估值假设'!$B$50,IF('估值假设'!$B$5="乐观",'估值假设'!$D$50,'估值假设'!$C$50))</x:f>
        <x:v>12</x:v>
      </x:c>
      <x:c r="I13" s="134" t="n">
        <x:f>IF('估值假设'!$B$5="悲观",'估值假设'!$B$51,IF('估值假设'!$B$5="乐观",'估值假设'!$D$51,'估值假设'!$C$51))</x:f>
        <x:v>11</x:v>
      </x:c>
    </x:row>
    <x:row r="14">
      <x:c r="A14" t="str">
        <x:v>其他非现金调整</x:v>
      </x:c>
      <x:c r="B14" s="118" t="n">
        <x:v>0</x:v>
      </x:c>
      <x:c r="C14" s="118" t="n">
        <x:v>0</x:v>
      </x:c>
      <x:c r="D14" s="118" t="n">
        <x:v>0</x:v>
      </x:c>
      <x:c r="E14" s="134" t="n">
        <x:f>IF('估值假设'!$B$5="悲观",'估值假设'!$B$52,IF('估值假设'!$B$5="乐观",'估值假设'!$D$52,'估值假设'!$C$52))</x:f>
        <x:v>0</x:v>
      </x:c>
      <x:c r="F14" s="134" t="n">
        <x:f>IF('估值假设'!$B$5="悲观",'估值假设'!$B$53,IF('估值假设'!$B$5="乐观",'估值假设'!$D$53,'估值假设'!$C$53))</x:f>
        <x:v>0</x:v>
      </x:c>
      <x:c r="G14" s="134" t="n">
        <x:f>IF('估值假设'!$B$5="悲观",'估值假设'!$B$54,IF('估值假设'!$B$5="乐观",'估值假设'!$D$54,'估值假设'!$C$54))</x:f>
        <x:v>0</x:v>
      </x:c>
      <x:c r="H14" s="134" t="n">
        <x:f>IF('估值假设'!$B$5="悲观",'估值假设'!$B$55,IF('估值假设'!$B$5="乐观",'估值假设'!$D$55,'估值假设'!$C$55))</x:f>
        <x:v>0</x:v>
      </x:c>
      <x:c r="I14" s="134" t="n">
        <x:f>IF('估值假设'!$B$5="悲观",'估值假设'!$B$56,IF('估值假设'!$B$5="乐观",'估值假设'!$D$56,'估值假设'!$C$56))</x:f>
        <x:v>0</x:v>
      </x:c>
    </x:row>
    <x:row r="15">
      <x:c r="A15" t="str">
        <x:v>其他经营性投资</x:v>
      </x:c>
      <x:c r="B15" s="118" t="n">
        <x:v>0</x:v>
      </x:c>
      <x:c r="C15" s="118" t="n">
        <x:v>0</x:v>
      </x:c>
      <x:c r="D15" s="118" t="n">
        <x:v>0</x:v>
      </x:c>
      <x:c r="E15" s="134" t="n">
        <x:f>IF('估值假设'!$B$5="悲观",'估值假设'!$B$57,IF('估值假设'!$B$5="乐观",'估值假设'!$D$57,'估值假设'!$C$57))</x:f>
        <x:v>0</x:v>
      </x:c>
      <x:c r="F15" s="134" t="n">
        <x:f>IF('估值假设'!$B$5="悲观",'估值假设'!$B$58,IF('估值假设'!$B$5="乐观",'估值假设'!$D$58,'估值假设'!$C$58))</x:f>
        <x:v>0</x:v>
      </x:c>
      <x:c r="G15" s="134" t="n">
        <x:f>IF('估值假设'!$B$5="悲观",'估值假设'!$B$59,IF('估值假设'!$B$5="乐观",'估值假设'!$D$59,'估值假设'!$C$59))</x:f>
        <x:v>0</x:v>
      </x:c>
      <x:c r="H15" s="134" t="n">
        <x:f>IF('估值假设'!$B$5="悲观",'估值假设'!$B$60,IF('估值假设'!$B$5="乐观",'估值假设'!$D$60,'估值假设'!$C$60))</x:f>
        <x:v>0</x:v>
      </x:c>
      <x:c r="I15" s="134" t="n">
        <x:f>IF('估值假设'!$B$5="悲观",'估值假设'!$B$61,IF('估值假设'!$B$5="乐观",'估值假设'!$D$61,'估值假设'!$C$61))</x:f>
        <x:v>0</x:v>
      </x:c>
    </x:row>
    <x:row r="16">
      <x:c r="A16" s="138" t="str">
        <x:v>企业自由现金流（FCFF）</x:v>
      </x:c>
      <x:c r="B16" s="139" t="n">
        <x:v>50</x:v>
      </x:c>
      <x:c r="C16" s="139" t="n">
        <x:v>62.75</x:v>
      </x:c>
      <x:c r="D16" s="139" t="n">
        <x:v>76.25</x:v>
      </x:c>
      <x:c r="E16" s="139" t="n">
        <x:f>E10+E11-E12-E13+IF(E14="",0,E14)-IF(E15="",0,E15)</x:f>
        <x:v>89.52000000000002</x:v>
      </x:c>
      <x:c r="F16" s="139" t="n">
        <x:f>F10+F11-F12-F13+IF(F14="",0,F14)-IF(F15="",0,F15)</x:f>
        <x:v>110.512</x:v>
      </x:c>
      <x:c r="G16" s="139" t="n">
        <x:f>G10+G11-G12-G13+IF(G14="",0,G14)-IF(G15="",0,G15)</x:f>
        <x:v>134.02272000000005</x:v>
      </x:c>
      <x:c r="H16" s="139" t="n">
        <x:f>H10+H11-H12-H13+IF(H14="",0,H14)-IF(H15="",0,H15)</x:f>
        <x:v>152.66345280000004</x:v>
      </x:c>
      <x:c r="I16" s="139" t="n">
        <x:f>I10+I11-I12-I13+IF(I14="",0,I14)-IF(I15="",0,I15)</x:f>
        <x:v>165.96913696000007</x:v>
      </x:c>
    </x:row>
    <x:row r="17">
      <x:c r="A17" t="str">
        <x:v>企业自由现金流率（FCFF/收入）</x:v>
      </x:c>
      <x:c r="B17" s="119" t="n">
        <x:v>0.0625</x:v>
      </x:c>
      <x:c r="C17" s="119" t="n">
        <x:v>0.0697222222</x:v>
      </x:c>
      <x:c r="D17" s="119" t="n">
        <x:v>0.07625</x:v>
      </x:c>
      <x:c r="E17" s="11" t="n">
        <x:f>E16/E5</x:f>
        <x:v>0.07992857142857145</x:v>
      </x:c>
      <x:c r="F17" s="11" t="n">
        <x:f>F16/F5</x:f>
        <x:v>0.0897012987012987</x:v>
      </x:c>
      <x:c r="G17" s="11" t="n">
        <x:f>G16/G5</x:f>
        <x:v>0.10072655122655125</x:v>
      </x:c>
      <x:c r="H17" s="11" t="n">
        <x:f>H16/H5</x:f>
        <x:v>0.10824173677475565</x:v>
      </x:c>
      <x:c r="I17" s="11" t="n">
        <x:f>I16/I5</x:f>
        <x:v>0.11207215115256447</x:v>
      </x:c>
    </x:row>
    <x:row r="19">
      <x:c r="A19" s="37" t="str">
        <x:v>企业自由现金流口径由上方计算链完成。正式生成时会清除模板演示历史值；空白表示未提供，不得视为零。详细方法说明见研究报告或技能参考文档。</x:v>
      </x:c>
      <x:c r="B19" s="37"/>
      <x:c r="C19" s="37"/>
      <x:c r="D19" s="37"/>
      <x:c r="E19" s="37"/>
      <x:c r="F19" s="37"/>
      <x:c r="G19" s="37"/>
      <x:c r="H19" s="37"/>
      <x:c r="I19" s="37"/>
    </x:row>
    <x:row r="20">
      <x:c r="A20" s="37"/>
      <x:c r="B20" s="37"/>
      <x:c r="C20" s="37"/>
      <x:c r="D20" s="37"/>
      <x:c r="E20" s="37"/>
      <x:c r="F20" s="37"/>
      <x:c r="G20" s="37"/>
      <x:c r="H20" s="37"/>
      <x:c r="I20" s="37"/>
    </x:row>
    <x:row r="21">
      <x:c r="A21" s="37"/>
      <x:c r="B21" s="37"/>
      <x:c r="C21" s="37"/>
      <x:c r="D21" s="37"/>
      <x:c r="E21" s="37"/>
      <x:c r="F21" s="37"/>
      <x:c r="G21" s="37"/>
      <x:c r="H21" s="37"/>
      <x:c r="I21" s="37"/>
    </x:row>
  </x:sheetData>
  <x:mergeCells>
    <x:mergeCell ref="A1:I1"/>
    <x:mergeCell ref="A19:I21"/>
  </x:mergeCells>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38" hidden="0" customWidth="1"/>
    <x:col min="2" max="2" width="17" hidden="0" customWidth="1"/>
    <x:col min="3" max="3" width="5" hidden="0" customWidth="1"/>
    <x:col min="4" max="4" width="5" hidden="0" customWidth="1"/>
    <x:col min="5" max="5" width="14" hidden="0" customWidth="1"/>
    <x:col min="6" max="6" width="14" hidden="0" customWidth="1"/>
    <x:col min="7" max="7" width="14" hidden="0" customWidth="1"/>
    <x:col min="8" max="8" width="14" hidden="0" customWidth="1"/>
    <x:col min="9" max="9" width="14" hidden="0" customWidth="1"/>
  </x:cols>
  <x:sheetData>
    <x:row r="1" ht="28" customHeight="1">
      <x:c r="A1" s="4" t="str">
        <x:v>现金流折现（DCF）估值</x:v>
      </x:c>
    </x:row>
    <x:row r="3">
      <x:c r="A3" t="str">
        <x:v>估值场景</x:v>
      </x:c>
      <x:c r="B3" s="5" t="str">
        <x:f>'估值假设'!B5</x:f>
        <x:v>基准</x:v>
      </x:c>
    </x:row>
    <x:row r="4">
      <x:c r="A4" t="str">
        <x:v>基础加权平均资本成本（WACC）</x:v>
      </x:c>
      <x:c r="B4" s="11" t="n">
        <x:f>'估值假设'!B22</x:f>
        <x:v>0.07220000000000001</x:v>
      </x:c>
    </x:row>
    <x:row r="5">
      <x:c r="A5" t="str">
        <x:v>场景加权平均资本成本（WACC）</x:v>
      </x:c>
      <x:c r="B5" s="11" t="n">
        <x:f>B4+IF(B3="悲观",'估值假设'!B72,IF(B3="乐观",'估值假设'!D72,'估值假设'!C72))</x:f>
        <x:v>0.07220000000000001</x:v>
      </x:c>
    </x:row>
    <x:row r="6">
      <x:c r="A6" t="str">
        <x:v>永续增长率（g）</x:v>
      </x:c>
      <x:c r="B6" s="11" t="n">
        <x:f>IF(B3="悲观",'估值假设'!B73,IF(B3="乐观",'估值假设'!D73,'估值假设'!C73))</x:f>
        <x:v>0.025</x:v>
      </x:c>
    </x:row>
    <x:row r="8">
      <x:c r="A8" s="46" t="str">
        <x:v>人民币百万元</x:v>
      </x:c>
      <x:c r="B8" s="51"/>
      <x:c r="C8" s="51"/>
      <x:c r="D8" s="51"/>
      <x:c r="E8" s="51" t="str">
        <x:v>2027E</x:v>
      </x:c>
      <x:c r="F8" s="51" t="str">
        <x:v>2028E</x:v>
      </x:c>
      <x:c r="G8" s="51" t="str">
        <x:v>2029E</x:v>
      </x:c>
      <x:c r="H8" s="51" t="str">
        <x:v>2030E</x:v>
      </x:c>
      <x:c r="I8" s="47" t="str">
        <x:v>2031E</x:v>
      </x:c>
    </x:row>
    <x:row r="10">
      <x:c r="A10" t="str">
        <x:v>企业自由现金流（FCFF）</x:v>
      </x:c>
      <x:c r="E10" s="134" t="n">
        <x:f>'经营预测'!E16</x:f>
        <x:v>89.52000000000002</x:v>
      </x:c>
      <x:c r="F10" s="134" t="n">
        <x:f>'经营预测'!F16</x:f>
        <x:v>110.512</x:v>
      </x:c>
      <x:c r="G10" s="134" t="n">
        <x:f>'经营预测'!G16</x:f>
        <x:v>134.02272000000005</x:v>
      </x:c>
      <x:c r="H10" s="134" t="n">
        <x:f>'经营预测'!H16</x:f>
        <x:v>152.66345280000004</x:v>
      </x:c>
      <x:c r="I10" s="134" t="n">
        <x:f>'经营预测'!I16</x:f>
        <x:v>165.96913696000007</x:v>
      </x:c>
    </x:row>
    <x:row r="11">
      <x:c r="A11" t="str">
        <x:v>折现时点</x:v>
      </x:c>
      <x:c r="E11" s="142" t="n">
        <x:f>IF($B$3="悲观",'估值假设'!$B$67,IF($B$3="乐观",'估值假设'!$D$67,'估值假设'!$C$67))</x:f>
        <x:v>0.5</x:v>
      </x:c>
      <x:c r="F11" s="142" t="n">
        <x:f>IF($B$3="悲观",'估值假设'!$B$68,IF($B$3="乐观",'估值假设'!$D$68,'估值假设'!$C$68))</x:f>
        <x:v>1.5</x:v>
      </x:c>
      <x:c r="G11" s="142" t="n">
        <x:f>IF($B$3="悲观",'估值假设'!$B$69,IF($B$3="乐观",'估值假设'!$D$69,'估值假设'!$C$69))</x:f>
        <x:v>2.5</x:v>
      </x:c>
      <x:c r="H11" s="142" t="n">
        <x:f>IF($B$3="悲观",'估值假设'!$B$70,IF($B$3="乐观",'估值假设'!$D$70,'估值假设'!$C$70))</x:f>
        <x:v>3.5</x:v>
      </x:c>
      <x:c r="I11" s="142" t="n">
        <x:f>IF($B$3="悲观",'估值假设'!$B$71,IF($B$3="乐观",'估值假设'!$D$71,'估值假设'!$C$71))</x:f>
        <x:v>4.5</x:v>
      </x:c>
    </x:row>
    <x:row r="12">
      <x:c r="A12" t="str">
        <x:v>折现因子</x:v>
      </x:c>
      <x:c r="E12" s="142" t="n">
        <x:f>1/(1+$B$5)^E11</x:f>
        <x:v>0.9657441777330159</x:v>
      </x:c>
      <x:c r="F12" s="142" t="n">
        <x:f>1/(1+$B$5)^F11</x:f>
        <x:v>0.900712719392852</x:v>
      </x:c>
      <x:c r="G12" s="142" t="n">
        <x:f>1/(1+$B$5)^G11</x:f>
        <x:v>0.8400603613065212</x:v>
      </x:c>
      <x:c r="H12" s="142" t="n">
        <x:f>1/(1+$B$5)^H11</x:f>
        <x:v>0.78349222281899</x:v>
      </x:c>
      <x:c r="I12" s="142" t="n">
        <x:f>1/(1+$B$5)^I11</x:f>
        <x:v>0.7307332800027887</x:v>
      </x:c>
    </x:row>
    <x:row r="13">
      <x:c r="E13" s="5"/>
      <x:c r="F13" s="5"/>
      <x:c r="G13" s="5"/>
      <x:c r="H13" s="5"/>
      <x:c r="I13" s="5"/>
    </x:row>
    <x:row r="14">
      <x:c r="A14" t="str">
        <x:v>折现后企业自由现金流（FCFF）</x:v>
      </x:c>
      <x:c r="E14" s="134" t="n">
        <x:f>E10*E12</x:f>
        <x:v>86.45341879065961</x:v>
      </x:c>
      <x:c r="F14" s="134" t="n">
        <x:f>F10*F12</x:f>
        <x:v>99.53956404554286</x:v>
      </x:c>
      <x:c r="G14" s="134" t="n">
        <x:f>G10*G12</x:f>
        <x:v>112.58717458648276</x:v>
      </x:c>
      <x:c r="H14" s="134" t="n">
        <x:f>H10*H12</x:f>
        <x:v>119.610627977494</x:v>
      </x:c>
      <x:c r="I14" s="134" t="n">
        <x:f>I10*I12</x:f>
        <x:v>121.27917183001291</x:v>
      </x:c>
    </x:row>
    <x:row r="15">
      <x:c r="A15" t="str">
        <x:v>显性期FCFF现值</x:v>
      </x:c>
      <x:c r="B15" s="134" t="n">
        <x:f>SUM(E14:I14)</x:f>
        <x:v>539.4699572301922</x:v>
      </x:c>
    </x:row>
    <x:row r="16">
      <x:c r="A16" t="str">
        <x:v>终值FCFF</x:v>
      </x:c>
      <x:c r="B16" s="134" t="n">
        <x:f>IF(IF(B3="悲观",'估值假设'!B75,IF(B3="乐观",'估值假设'!D75,'估值假设'!C75))="",I10,IF(B3="悲观",'估值假设'!B75,IF(B3="乐观",'估值假设'!D75,'估值假设'!C75)))</x:f>
        <x:v>165.96913696000007</x:v>
      </x:c>
    </x:row>
    <x:row r="17">
      <x:c r="A17" t="str">
        <x:v>终值</x:v>
      </x:c>
      <x:c r="B17" s="134" t="n">
        <x:f>B16*(1+B6)/(B5-B6)</x:f>
        <x:v>3604.2026564406783</x:v>
      </x:c>
    </x:row>
    <x:row r="18">
      <x:c r="A18" t="str">
        <x:v>终值现值</x:v>
      </x:c>
      <x:c r="B18" s="134" t="n">
        <x:f>B17/(1+B5)^B20</x:f>
        <x:v>2543.49089887701</x:v>
      </x:c>
    </x:row>
    <x:row r="19">
      <x:c r="A19" t="str">
        <x:v>终值占企业价值</x:v>
      </x:c>
      <x:c r="B19" s="11" t="n">
        <x:f>B18/B21</x:f>
        <x:v>0.825015631917114</x:v>
      </x:c>
    </x:row>
    <x:row r="20">
      <x:c r="A20" t="str">
        <x:v>终值折现时点</x:v>
      </x:c>
      <x:c r="B20" s="5" t="n">
        <x:f>IF(B3="悲观",'估值假设'!B74,IF(B3="乐观",'估值假设'!D74,'估值假设'!C74))</x:f>
        <x:v>5</x:v>
      </x:c>
    </x:row>
    <x:row r="21">
      <x:c r="A21" s="143" t="str">
        <x:v>企业价值</x:v>
      </x:c>
      <x:c r="B21" s="144" t="n">
        <x:f>B15+B18</x:f>
        <x:v>3082.960856107202</x:v>
      </x:c>
    </x:row>
    <x:row r="22">
      <x:c r="A22" t="str">
        <x:v>加：可扣现金</x:v>
      </x:c>
      <x:c r="B22" s="134" t="n">
        <x:f>'估值假设'!G15</x:f>
        <x:v>200</x:v>
      </x:c>
    </x:row>
    <x:row r="23">
      <x:c r="A23" t="str">
        <x:v>加：非经营投资</x:v>
      </x:c>
      <x:c r="B23" s="134" t="n">
        <x:f>'估值假设'!G16</x:f>
        <x:v>25</x:v>
      </x:c>
    </x:row>
    <x:row r="24">
      <x:c r="A24" t="str">
        <x:v>加：联营/合营价值</x:v>
      </x:c>
      <x:c r="B24" s="134" t="n">
        <x:f>'估值假设'!G17</x:f>
        <x:v>0</x:v>
      </x:c>
    </x:row>
    <x:row r="25">
      <x:c r="A25" t="str">
        <x:v>减：债务及其他索取权</x:v>
      </x:c>
      <x:c r="B25" s="134" t="n">
        <x:f>SUM('估值假设'!G18:G23)</x:f>
        <x:v>330</x:v>
      </x:c>
    </x:row>
    <x:row r="26">
      <x:c r="A26" s="145" t="str">
        <x:v>普通股权益价值</x:v>
      </x:c>
      <x:c r="B26" s="146" t="n">
        <x:f>SUM(B21:B24)-B25</x:f>
        <x:v>2977.960856107202</x:v>
      </x:c>
    </x:row>
    <x:row r="27">
      <x:c r="A27" t="str">
        <x:v>完全稀释股份数</x:v>
      </x:c>
      <x:c r="B27" s="134" t="n">
        <x:f>'估值假设'!G24</x:f>
        <x:v>100</x:v>
      </x:c>
    </x:row>
    <x:row r="28">
      <x:c r="A28" s="149" t="str">
        <x:v>每股价值</x:v>
      </x:c>
      <x:c r="B28" s="150" t="n">
        <x:f>B26/B27</x:f>
        <x:v>29.779608561072017</x:v>
      </x:c>
    </x:row>
    <x:row r="29">
      <x:c r="A29" t="str">
        <x:v>相对当前股价空间</x:v>
      </x:c>
      <x:c r="B29" s="11" t="n">
        <x:f>B28/'估值假设'!B9-1</x:f>
        <x:v>0.19118434244288074</x:v>
      </x:c>
    </x:row>
    <x:row r="31">
      <x:c r="A31" s="37" t="str">
        <x:v>显性期和终值折现时点来自“估值假设”表，不得在计算区写死。终值占比过高时应延长预测期、复核稳态，并扩大WACC与永续增长率的敏感性区间。</x:v>
      </x:c>
      <x:c r="B31" s="37"/>
      <x:c r="C31" s="37"/>
      <x:c r="D31" s="37"/>
      <x:c r="E31" s="37"/>
      <x:c r="F31" s="37"/>
      <x:c r="G31" s="37"/>
      <x:c r="H31" s="37"/>
      <x:c r="I31" s="37"/>
    </x:row>
    <x:row r="32">
      <x:c r="A32" s="37"/>
      <x:c r="B32" s="37"/>
      <x:c r="C32" s="37"/>
      <x:c r="D32" s="37"/>
      <x:c r="E32" s="37"/>
      <x:c r="F32" s="37"/>
      <x:c r="G32" s="37"/>
      <x:c r="H32" s="37"/>
      <x:c r="I32" s="37"/>
    </x:row>
    <x:row r="33">
      <x:c r="A33" s="37"/>
      <x:c r="B33" s="37"/>
      <x:c r="C33" s="37"/>
      <x:c r="D33" s="37"/>
      <x:c r="E33" s="37"/>
      <x:c r="F33" s="37"/>
      <x:c r="G33" s="37"/>
      <x:c r="H33" s="37"/>
      <x:c r="I33" s="37"/>
    </x:row>
  </x:sheetData>
  <x:mergeCells>
    <x:mergeCell ref="A1:I1"/>
    <x:mergeCell ref="A31:I33"/>
  </x:mergeCells>
  <x:pageMargins left="0.7" right="0.7" top="0.75" bottom="0.75" header="0.3" footer="0.3"/>
</x:worksheet>
</file>

<file path=xl/worksheets/sheet8.xml><?xml version="1.0" encoding="utf-8"?>
<x:worksheet xmlns:x="http://schemas.openxmlformats.org/spreadsheetml/2006/main">
  <x:sheetViews>
    <x:sheetView showGridLines="0" workbookViewId="0"/>
  </x:sheetViews>
  <x:sheetFormatPr defaultRowHeight="15"/>
  <x:cols>
    <x:col min="1" max="1" width="40" hidden="0" customWidth="1"/>
    <x:col min="2" max="2" width="18" hidden="0" customWidth="1"/>
    <x:col min="3" max="3" width="15" hidden="0" customWidth="1"/>
    <x:col min="4" max="4" width="15" hidden="0" customWidth="1"/>
    <x:col min="5" max="5" width="15" hidden="0" customWidth="1"/>
    <x:col min="6" max="6" width="15" hidden="0" customWidth="1"/>
    <x:col min="7" max="7" width="15" hidden="0" customWidth="1"/>
    <x:col min="8" max="8" width="10" hidden="0" customWidth="1"/>
  </x:cols>
  <x:sheetData>
    <x:row r="1" ht="28" customHeight="1">
      <x:c r="A1" s="4" t="str">
        <x:v>敏感性分析：加权平均资本成本（WACC）×永续增长率（g）</x:v>
      </x:c>
    </x:row>
    <x:row r="3">
      <x:c r="A3" t="str">
        <x:v>每股价值</x:v>
      </x:c>
    </x:row>
    <x:row r="4">
      <x:c r="B4" s="46" t="str">
        <x:v>永续增长率g / WACC</x:v>
      </x:c>
      <x:c r="C4" s="157" t="n">
        <x:f>'DCF估值'!$B$5-2.0%</x:f>
        <x:v>0.05220000000000001</x:v>
      </x:c>
      <x:c r="D4" s="157" t="n">
        <x:f>'DCF估值'!$B$5-1.0%</x:f>
        <x:v>0.06220000000000001</x:v>
      </x:c>
      <x:c r="E4" s="157" t="n">
        <x:f>'DCF估值'!$B$5</x:f>
        <x:v>0.07220000000000001</x:v>
      </x:c>
      <x:c r="F4" s="157" t="n">
        <x:f>'DCF估值'!$B$5+1.0%</x:f>
        <x:v>0.08220000000000001</x:v>
      </x:c>
      <x:c r="G4" s="158" t="n">
        <x:f>'DCF估值'!$B$5+2.0%</x:f>
        <x:v>0.09220000000000002</x:v>
      </x:c>
    </x:row>
    <x:row r="5">
      <x:c r="B5" s="159" t="n">
        <x:f>'DCF估值'!$B$6-1.0%</x:f>
        <x:v>0.015000000000000001</x:v>
      </x:c>
      <x:c r="C5" s="141" t="n">
        <x:f>('DCF估值'!$E$10/(1+C$4)^'DCF估值'!$E$11+'DCF估值'!$F$10/(1+C$4)^'DCF估值'!$F$11+'DCF估值'!$G$10/(1+C$4)^'DCF估值'!$G$11+'DCF估值'!$H$10/(1+C$4)^'DCF估值'!$H$11+'DCF估值'!$I$10/(1+C$4)^'DCF估值'!$I$11+('DCF估值'!$B$16*(1+$B5)/(C$4-$B5))/(1+C$4)^'DCF估值'!$B$20+'估值假设'!$G$15+'估值假设'!$G$16+'估值假设'!$G$17-SUM('估值假设'!$G$18:$G$23))/'估值假设'!$G$24</x:f>
        <x:v>39.7366559141787</x:v>
      </x:c>
      <x:c r="D5" s="141" t="n">
        <x:f>('DCF估值'!$E$10/(1+D$4)^'DCF估值'!$E$11+'DCF估值'!$F$10/(1+D$4)^'DCF估值'!$F$11+'DCF估值'!$G$10/(1+D$4)^'DCF估值'!$G$11+'DCF估值'!$H$10/(1+D$4)^'DCF估值'!$H$11+'DCF估值'!$I$10/(1+D$4)^'DCF估值'!$I$11+('DCF估值'!$B$16*(1+$B5)/(D$4-$B5))/(1+D$4)^'DCF估值'!$B$20+'估值假设'!$G$15+'估值假设'!$G$16+'估值假设'!$G$17-SUM('估值假设'!$G$18:$G$23))/'估值假设'!$G$24</x:f>
        <x:v>30.876538710870953</x:v>
      </x:c>
      <x:c r="E5" s="141" t="n">
        <x:f>('DCF估值'!$E$10/(1+E$4)^'DCF估值'!$E$11+'DCF估值'!$F$10/(1+E$4)^'DCF估值'!$F$11+'DCF估值'!$G$10/(1+E$4)^'DCF估值'!$G$11+'DCF估值'!$H$10/(1+E$4)^'DCF估值'!$H$11+'DCF估值'!$I$10/(1+E$4)^'DCF估值'!$I$11+('DCF估值'!$B$16*(1+$B5)/(E$4-$B5))/(1+E$4)^'DCF估值'!$B$20+'估值假设'!$G$15+'估值假设'!$G$16+'估值假设'!$G$17-SUM('估值假设'!$G$18:$G$23))/'估值假设'!$G$24</x:f>
        <x:v>25.128182769197675</x:v>
      </x:c>
      <x:c r="F5" s="141" t="n">
        <x:f>('DCF估值'!$E$10/(1+F$4)^'DCF估值'!$E$11+'DCF估值'!$F$10/(1+F$4)^'DCF估值'!$F$11+'DCF估值'!$G$10/(1+F$4)^'DCF估值'!$G$11+'DCF估值'!$H$10/(1+F$4)^'DCF估值'!$H$11+'DCF估值'!$I$10/(1+F$4)^'DCF估值'!$I$11+('DCF估值'!$B$16*(1+$B5)/(F$4-$B5))/(1+F$4)^'DCF估值'!$B$20+'估值假设'!$G$15+'估值假设'!$G$16+'估值假设'!$G$17-SUM('估值假设'!$G$18:$G$23))/'估值假设'!$G$24</x:f>
        <x:v>21.101562283578374</x:v>
      </x:c>
      <x:c r="G5" s="141" t="n">
        <x:f>('DCF估值'!$E$10/(1+G$4)^'DCF估值'!$E$11+'DCF估值'!$F$10/(1+G$4)^'DCF估值'!$F$11+'DCF估值'!$G$10/(1+G$4)^'DCF估值'!$G$11+'DCF估值'!$H$10/(1+G$4)^'DCF估值'!$H$11+'DCF估值'!$I$10/(1+G$4)^'DCF估值'!$I$11+('DCF估值'!$B$16*(1+$B5)/(G$4-$B5))/(1+G$4)^'DCF估值'!$B$20+'估值假设'!$G$15+'估值假设'!$G$16+'估值假设'!$G$17-SUM('估值假设'!$G$18:$G$23))/'估值假设'!$G$24</x:f>
        <x:v>18.126931247348892</x:v>
      </x:c>
    </x:row>
    <x:row r="6">
      <x:c r="B6" s="160" t="n">
        <x:f>'DCF估值'!$B$6-0.5%</x:f>
        <x:v>0.02</x:v>
      </x:c>
      <x:c r="C6" s="141" t="n">
        <x:f>('DCF估值'!$E$10/(1+C$4)^'DCF估值'!$E$11+'DCF估值'!$F$10/(1+C$4)^'DCF估值'!$F$11+'DCF估值'!$G$10/(1+C$4)^'DCF估值'!$G$11+'DCF估值'!$H$10/(1+C$4)^'DCF估值'!$H$11+'DCF估值'!$I$10/(1+C$4)^'DCF估值'!$I$11+('DCF估值'!$B$16*(1+$B6)/(C$4-$B6))/(1+C$4)^'DCF估值'!$B$20+'估值假设'!$G$15+'估值假设'!$G$16+'估值假设'!$G$17-SUM('估值假设'!$G$18:$G$23))/'估值假设'!$G$24</x:f>
        <x:v>45.38869736983657</x:v>
      </x:c>
      <x:c r="D6" s="141" t="n">
        <x:f>('DCF估值'!$E$10/(1+D$4)^'DCF估值'!$E$11+'DCF估值'!$F$10/(1+D$4)^'DCF估值'!$F$11+'DCF估值'!$G$10/(1+D$4)^'DCF估值'!$G$11+'DCF估值'!$H$10/(1+D$4)^'DCF估值'!$H$11+'DCF估值'!$I$10/(1+D$4)^'DCF估值'!$I$11+('DCF估值'!$B$16*(1+$B6)/(D$4-$B6))/(1+D$4)^'DCF估值'!$B$20+'估值假设'!$G$15+'估值假设'!$G$16+'估值假设'!$G$17-SUM('估值假设'!$G$18:$G$23))/'估值假设'!$G$24</x:f>
        <x:v>34.14932541442853</x:v>
      </x:c>
      <x:c r="E6" s="141" t="n">
        <x:f>('DCF估值'!$E$10/(1+E$4)^'DCF估值'!$E$11+'DCF估值'!$F$10/(1+E$4)^'DCF估值'!$F$11+'DCF估值'!$G$10/(1+E$4)^'DCF估值'!$G$11+'DCF估值'!$H$10/(1+E$4)^'DCF估值'!$H$11+'DCF估值'!$I$10/(1+E$4)^'DCF估值'!$I$11+('DCF估值'!$B$16*(1+$B6)/(E$4-$B6))/(1+E$4)^'DCF估值'!$B$20+'估值假设'!$G$15+'估值假设'!$G$16+'估值假设'!$G$17-SUM('估值假设'!$G$18:$G$23))/'估值假设'!$G$24</x:f>
        <x:v>27.23112623065811</x:v>
      </x:c>
      <x:c r="F6" s="141" t="n">
        <x:f>('DCF估值'!$E$10/(1+F$4)^'DCF估值'!$E$11+'DCF估值'!$F$10/(1+F$4)^'DCF估值'!$F$11+'DCF估值'!$G$10/(1+F$4)^'DCF估值'!$G$11+'DCF估值'!$H$10/(1+F$4)^'DCF估值'!$H$11+'DCF估值'!$I$10/(1+F$4)^'DCF估值'!$I$11+('DCF估值'!$B$16*(1+$B6)/(F$4-$B6))/(1+F$4)^'DCF估值'!$B$20+'估值假设'!$G$15+'估值假设'!$G$16+'估值假设'!$G$17-SUM('估值假设'!$G$18:$G$23))/'估值假设'!$G$24</x:f>
        <x:v>22.54902559270645</x:v>
      </x:c>
      <x:c r="G6" s="141" t="n">
        <x:f>('DCF估值'!$E$10/(1+G$4)^'DCF估值'!$E$11+'DCF估值'!$F$10/(1+G$4)^'DCF估值'!$F$11+'DCF估值'!$G$10/(1+G$4)^'DCF估值'!$G$11+'DCF估值'!$H$10/(1+G$4)^'DCF估值'!$H$11+'DCF估值'!$I$10/(1+G$4)^'DCF估值'!$I$11+('DCF估值'!$B$16*(1+$B6)/(G$4-$B6))/(1+G$4)^'DCF估值'!$B$20+'估值假设'!$G$15+'估值假设'!$G$16+'估值假设'!$G$17-SUM('估值假设'!$G$18:$G$23))/'估值假设'!$G$24</x:f>
        <x:v>19.173178072902136</x:v>
      </x:c>
    </x:row>
    <x:row r="7">
      <x:c r="B7" s="160" t="n">
        <x:f>'DCF估值'!$B$6</x:f>
        <x:v>0.025</x:v>
      </x:c>
      <x:c r="C7" s="141" t="n">
        <x:f>('DCF估值'!$E$10/(1+C$4)^'DCF估值'!$E$11+'DCF估值'!$F$10/(1+C$4)^'DCF估值'!$F$11+'DCF估值'!$G$10/(1+C$4)^'DCF估值'!$G$11+'DCF估值'!$H$10/(1+C$4)^'DCF估值'!$H$11+'DCF估值'!$I$10/(1+C$4)^'DCF估值'!$I$11+('DCF估值'!$B$16*(1+$B7)/(C$4-$B7))/(1+C$4)^'DCF估值'!$B$20+'估值假设'!$G$15+'估值假设'!$G$16+'估值假设'!$G$17-SUM('估值假设'!$G$18:$G$23))/'估值假设'!$G$24</x:f>
        <x:v>53.118695243015715</x:v>
      </x:c>
      <x:c r="D7" s="141" t="n">
        <x:f>('DCF估值'!$E$10/(1+D$4)^'DCF估值'!$E$11+'DCF估值'!$F$10/(1+D$4)^'DCF估值'!$F$11+'DCF估值'!$G$10/(1+D$4)^'DCF估值'!$G$11+'DCF估值'!$H$10/(1+D$4)^'DCF估值'!$H$11+'DCF估值'!$I$10/(1+D$4)^'DCF估值'!$I$11+('DCF估值'!$B$16*(1+$B7)/(D$4-$B7))/(1+D$4)^'DCF估值'!$B$20+'估值假设'!$G$15+'估值假设'!$G$16+'估值假设'!$G$17-SUM('估值假设'!$G$18:$G$23))/'估值假设'!$G$24</x:f>
        <x:v>38.3018934899102</x:v>
      </x:c>
      <x:c r="E7" s="141" t="n">
        <x:f>('DCF估值'!$E$10/(1+E$4)^'DCF估值'!$E$11+'DCF估值'!$F$10/(1+E$4)^'DCF估值'!$F$11+'DCF估值'!$G$10/(1+E$4)^'DCF估值'!$G$11+'DCF估值'!$H$10/(1+E$4)^'DCF估值'!$H$11+'DCF估值'!$I$10/(1+E$4)^'DCF估值'!$I$11+('DCF估值'!$B$16*(1+$B7)/(E$4-$B7))/(1+E$4)^'DCF估值'!$B$20+'估值假设'!$G$15+'估值假设'!$G$16+'估值假设'!$G$17-SUM('估值假设'!$G$18:$G$23))/'估值假设'!$G$24</x:f>
        <x:v>29.779608561072017</x:v>
      </x:c>
      <x:c r="F7" s="141" t="n">
        <x:f>('DCF估值'!$E$10/(1+F$4)^'DCF估值'!$E$11+'DCF估值'!$F$10/(1+F$4)^'DCF估值'!$F$11+'DCF估值'!$G$10/(1+F$4)^'DCF估值'!$G$11+'DCF估值'!$H$10/(1+F$4)^'DCF估值'!$H$11+'DCF估值'!$I$10/(1+F$4)^'DCF估值'!$I$11+('DCF估值'!$B$16*(1+$B7)/(F$4-$B7))/(1+F$4)^'DCF估值'!$B$20+'估值假设'!$G$15+'估值假设'!$G$16+'估值假设'!$G$17-SUM('估值假设'!$G$18:$G$23))/'估值假设'!$G$24</x:f>
        <x:v>24.249541927905856</x:v>
      </x:c>
      <x:c r="G7" s="141" t="n">
        <x:f>('DCF估值'!$E$10/(1+G$4)^'DCF估值'!$E$11+'DCF估值'!$F$10/(1+G$4)^'DCF估值'!$F$11+'DCF估值'!$G$10/(1+G$4)^'DCF估值'!$G$11+'DCF估值'!$H$10/(1+G$4)^'DCF估值'!$H$11+'DCF估值'!$I$10/(1+G$4)^'DCF估值'!$I$11+('DCF估值'!$B$16*(1+$B7)/(G$4-$B7))/(1+G$4)^'DCF估值'!$B$20+'估值假设'!$G$15+'估值假设'!$G$16+'估值假设'!$G$17-SUM('估值假设'!$G$18:$G$23))/'估值假设'!$G$24</x:f>
        <x:v>20.375116390353178</x:v>
      </x:c>
    </x:row>
    <x:row r="8">
      <x:c r="B8" s="160" t="n">
        <x:f>'DCF估值'!$B$6+0.5%</x:f>
        <x:v>0.030000000000000002</x:v>
      </x:c>
      <x:c r="C8" s="141" t="n">
        <x:f>('DCF估值'!$E$10/(1+C$4)^'DCF估值'!$E$11+'DCF估值'!$F$10/(1+C$4)^'DCF估值'!$F$11+'DCF估值'!$G$10/(1+C$4)^'DCF估值'!$G$11+'DCF估值'!$H$10/(1+C$4)^'DCF估值'!$H$11+'DCF估值'!$I$10/(1+C$4)^'DCF估值'!$I$11+('DCF估值'!$B$16*(1+$B8)/(C$4-$B8))/(1+C$4)^'DCF估值'!$B$20+'估值假设'!$G$15+'估值假设'!$G$16+'估值假设'!$G$17-SUM('估值假设'!$G$18:$G$23))/'估值假设'!$G$24</x:f>
        <x:v>64.33067414014944</x:v>
      </x:c>
      <x:c r="D8" s="141" t="n">
        <x:f>('DCF估值'!$E$10/(1+D$4)^'DCF估值'!$E$11+'DCF估值'!$F$10/(1+D$4)^'DCF估值'!$F$11+'DCF估值'!$G$10/(1+D$4)^'DCF估值'!$G$11+'DCF估值'!$H$10/(1+D$4)^'DCF估值'!$H$11+'DCF估值'!$I$10/(1+D$4)^'DCF估值'!$I$11+('DCF估值'!$B$16*(1+$B8)/(D$4-$B8))/(1+D$4)^'DCF估值'!$B$20+'估值假设'!$G$15+'估值假设'!$G$16+'估值假设'!$G$17-SUM('估值假设'!$G$18:$G$23))/'估值假设'!$G$24</x:f>
        <x:v>43.74407898013773</x:v>
      </x:c>
      <x:c r="E8" s="141" t="n">
        <x:f>('DCF估值'!$E$10/(1+E$4)^'DCF估值'!$E$11+'DCF估值'!$F$10/(1+E$4)^'DCF估值'!$F$11+'DCF估值'!$G$10/(1+E$4)^'DCF估值'!$G$11+'DCF估值'!$H$10/(1+E$4)^'DCF估值'!$H$11+'DCF估值'!$I$10/(1+E$4)^'DCF估值'!$I$11+('DCF估值'!$B$16*(1+$B8)/(E$4-$B8))/(1+E$4)^'DCF估值'!$B$20+'估值假设'!$G$15+'估值假设'!$G$16+'估值假设'!$G$17-SUM('估值假设'!$G$18:$G$23))/'估值假设'!$G$24</x:f>
        <x:v>32.931996656986854</x:v>
      </x:c>
      <x:c r="F8" s="141" t="n">
        <x:f>('DCF估值'!$E$10/(1+F$4)^'DCF估值'!$E$11+'DCF估值'!$F$10/(1+F$4)^'DCF估值'!$F$11+'DCF估值'!$G$10/(1+F$4)^'DCF估值'!$G$11+'DCF估值'!$H$10/(1+F$4)^'DCF估值'!$H$11+'DCF估值'!$I$10/(1+F$4)^'DCF估值'!$I$11+('DCF估值'!$B$16*(1+$B8)/(F$4-$B8))/(1+F$4)^'DCF估值'!$B$20+'估值假设'!$G$15+'估值假设'!$G$16+'估值假设'!$G$17-SUM('估值假设'!$G$18:$G$23))/'估值假设'!$G$24</x:f>
        <x:v>26.275827675978718</x:v>
      </x:c>
      <x:c r="G8" s="141" t="n">
        <x:f>('DCF估值'!$E$10/(1+G$4)^'DCF估值'!$E$11+'DCF估值'!$F$10/(1+G$4)^'DCF估值'!$F$11+'DCF估值'!$G$10/(1+G$4)^'DCF估值'!$G$11+'DCF估值'!$H$10/(1+G$4)^'DCF估值'!$H$11+'DCF估值'!$I$10/(1+G$4)^'DCF估值'!$I$11+('DCF估值'!$B$16*(1+$B8)/(G$4-$B8))/(1+G$4)^'DCF估值'!$B$20+'估值假设'!$G$15+'估值假设'!$G$16+'估值假设'!$G$17-SUM('估值假设'!$G$18:$G$23))/'估值假设'!$G$24</x:f>
        <x:v>21.770292379420145</x:v>
      </x:c>
    </x:row>
    <x:row r="9">
      <x:c r="B9" s="161" t="n">
        <x:f>'DCF估值'!$B$6+1.0%</x:f>
        <x:v>0.035</x:v>
      </x:c>
      <x:c r="C9" s="141" t="n">
        <x:f>('DCF估值'!$E$10/(1+C$4)^'DCF估值'!$E$11+'DCF估值'!$F$10/(1+C$4)^'DCF估值'!$F$11+'DCF估值'!$G$10/(1+C$4)^'DCF估值'!$G$11+'DCF估值'!$H$10/(1+C$4)^'DCF估值'!$H$11+'DCF估值'!$I$10/(1+C$4)^'DCF估值'!$I$11+('DCF估值'!$B$16*(1+$B9)/(C$4-$B9))/(1+C$4)^'DCF估值'!$B$20+'估值假设'!$G$15+'估值假设'!$G$16+'估值假设'!$G$17-SUM('估值假设'!$G$18:$G$23))/'估值假设'!$G$24</x:f>
        <x:v>82.06124541933762</x:v>
      </x:c>
      <x:c r="D9" s="141" t="n">
        <x:f>('DCF估值'!$E$10/(1+D$4)^'DCF估值'!$E$11+'DCF估值'!$F$10/(1+D$4)^'DCF估值'!$F$11+'DCF估值'!$G$10/(1+D$4)^'DCF估值'!$G$11+'DCF估值'!$H$10/(1+D$4)^'DCF估值'!$H$11+'DCF估值'!$I$10/(1+D$4)^'DCF估值'!$I$11+('DCF估值'!$B$16*(1+$B9)/(D$4-$B9))/(1+D$4)^'DCF估值'!$B$20+'估值假设'!$G$15+'估值假设'!$G$16+'估值假设'!$G$17-SUM('估值假设'!$G$18:$G$23))/'估值假设'!$G$24</x:f>
        <x:v>51.18706795941947</x:v>
      </x:c>
      <x:c r="E9" s="141" t="n">
        <x:f>('DCF估值'!$E$10/(1+E$4)^'DCF估值'!$E$11+'DCF估值'!$F$10/(1+E$4)^'DCF估值'!$F$11+'DCF估值'!$G$10/(1+E$4)^'DCF估值'!$G$11+'DCF估值'!$H$10/(1+E$4)^'DCF估值'!$H$11+'DCF估值'!$I$10/(1+E$4)^'DCF估值'!$I$11+('DCF估值'!$B$16*(1+$B9)/(E$4-$B9))/(1+E$4)^'DCF估值'!$B$20+'估值假设'!$G$15+'估值假设'!$G$16+'估值假设'!$G$17-SUM('估值假设'!$G$18:$G$23))/'估值假设'!$G$24</x:f>
        <x:v>36.93180090771752</x:v>
      </x:c>
      <x:c r="F9" s="141" t="n">
        <x:f>('DCF估值'!$E$10/(1+F$4)^'DCF估值'!$E$11+'DCF估值'!$F$10/(1+F$4)^'DCF估值'!$F$11+'DCF估值'!$G$10/(1+F$4)^'DCF估值'!$G$11+'DCF估值'!$H$10/(1+F$4)^'DCF估值'!$H$11+'DCF估值'!$I$10/(1+F$4)^'DCF估值'!$I$11+('DCF估值'!$B$16*(1+$B9)/(F$4-$B9))/(1+F$4)^'DCF估值'!$B$20+'估值假设'!$G$15+'估值假设'!$G$16+'估值假设'!$G$17-SUM('估值假设'!$G$18:$G$23))/'估值假设'!$G$24</x:f>
        <x:v>28.731411252033123</x:v>
      </x:c>
      <x:c r="G9" s="141" t="n">
        <x:f>('DCF估值'!$E$10/(1+G$4)^'DCF估值'!$E$11+'DCF估值'!$F$10/(1+G$4)^'DCF估值'!$F$11+'DCF估值'!$G$10/(1+G$4)^'DCF估值'!$G$11+'DCF估值'!$H$10/(1+G$4)^'DCF估值'!$H$11+'DCF估值'!$I$10/(1+G$4)^'DCF估值'!$I$11+('DCF估值'!$B$16*(1+$B9)/(G$4-$B9))/(1+G$4)^'DCF估值'!$B$20+'估值假设'!$G$15+'估值假设'!$G$16+'估值假设'!$G$17-SUM('估值假设'!$G$18:$G$23))/'估值假设'!$G$24</x:f>
        <x:v>23.40938025468763</x:v>
      </x:c>
    </x:row>
    <x:row r="12">
      <x:c r="A12" s="9" t="str">
        <x:v>三情景结果</x:v>
      </x:c>
    </x:row>
    <x:row r="14">
      <x:c r="A14" s="46" t="str">
        <x:v>情景</x:v>
      </x:c>
      <x:c r="B14" s="51" t="str">
        <x:v>WACC调整</x:v>
      </x:c>
      <x:c r="C14" s="51" t="str">
        <x:v>永续增长率（g）</x:v>
      </x:c>
      <x:c r="D14" s="47" t="str">
        <x:v>每股价值</x:v>
      </x:c>
    </x:row>
    <x:row r="15">
      <x:c r="A15" t="str">
        <x:v>悲观</x:v>
      </x:c>
      <x:c r="B15" s="11" t="n">
        <x:f>'估值假设'!B72</x:f>
        <x:v>0.01</x:v>
      </x:c>
      <x:c r="C15" s="11" t="n">
        <x:f>'估值假设'!B73</x:f>
        <x:v>0.015</x:v>
      </x:c>
      <x:c r="D15" s="10" t="n">
        <x:f>B52</x:f>
        <x:v>14.955631731524182</x:v>
      </x:c>
    </x:row>
    <x:row r="16">
      <x:c r="A16" t="str">
        <x:v>基准</x:v>
      </x:c>
      <x:c r="B16" s="11" t="n">
        <x:f>'估值假设'!C72</x:f>
        <x:v>0</x:v>
      </x:c>
      <x:c r="C16" s="11" t="n">
        <x:f>'估值假设'!C73</x:f>
        <x:v>0.025</x:v>
      </x:c>
      <x:c r="D16" s="10" t="n">
        <x:f>B85</x:f>
        <x:v>29.779608561072017</x:v>
      </x:c>
    </x:row>
    <x:row r="17">
      <x:c r="A17" t="str">
        <x:v>乐观</x:v>
      </x:c>
      <x:c r="B17" s="11" t="n">
        <x:f>'估值假设'!D72</x:f>
        <x:v>-0.005</x:v>
      </x:c>
      <x:c r="C17" s="11" t="n">
        <x:f>'估值假设'!D73</x:f>
        <x:v>0.03</x:v>
      </x:c>
      <x:c r="D17" s="10" t="n">
        <x:f>B118</x:f>
        <x:v>50.134199016218105</x:v>
      </x:c>
    </x:row>
    <x:row r="19">
      <x:c r="A19" s="37" t="str">
        <x:v>敏感性表从底层企业自由现金流（FCFF）、折现因子、终值和股权桥接重新计算，不对最终价值做静态加减。下方三个计算块分别使用悲观、基准和乐观情景的收入增长、利润率、税率、加权平均资本成本（WACC）和永续增长率。</x:v>
      </x:c>
      <x:c r="B19" s="37"/>
      <x:c r="C19" s="37"/>
      <x:c r="D19" s="37"/>
      <x:c r="E19" s="37"/>
      <x:c r="F19" s="37"/>
      <x:c r="G19" s="37"/>
      <x:c r="H19" s="37"/>
    </x:row>
    <x:row r="20">
      <x:c r="A20" s="37"/>
      <x:c r="B20" s="37"/>
      <x:c r="C20" s="37"/>
      <x:c r="D20" s="37"/>
      <x:c r="E20" s="37"/>
      <x:c r="F20" s="37"/>
      <x:c r="G20" s="37"/>
      <x:c r="H20" s="37"/>
    </x:row>
    <x:row r="21">
      <x:c r="A21" s="37"/>
      <x:c r="B21" s="37"/>
      <x:c r="C21" s="37"/>
      <x:c r="D21" s="37"/>
      <x:c r="E21" s="37"/>
      <x:c r="F21" s="37"/>
      <x:c r="G21" s="37"/>
      <x:c r="H21" s="37"/>
    </x:row>
    <x:row r="23">
      <x:c r="A23" s="9" t="str">
        <x:v>悲观 情景完整经营现金流</x:v>
      </x:c>
    </x:row>
    <x:row r="25">
      <x:c r="A25" s="46" t="str">
        <x:v>人民币百万元</x:v>
      </x:c>
      <x:c r="B25" s="51"/>
      <x:c r="C25" s="51" t="str">
        <x:v>2027E</x:v>
      </x:c>
      <x:c r="D25" s="51" t="str">
        <x:v>2028E</x:v>
      </x:c>
      <x:c r="E25" s="51" t="str">
        <x:v>2029E</x:v>
      </x:c>
      <x:c r="F25" s="51" t="str">
        <x:v>2030E</x:v>
      </x:c>
      <x:c r="G25" s="47" t="str">
        <x:v>2031E</x:v>
      </x:c>
    </x:row>
    <x:row r="27">
      <x:c r="A27" t="str">
        <x:v>收入</x:v>
      </x:c>
      <x:c r="C27" s="132" t="n">
        <x:f>'经营预测'!$D$5*(1+C28)</x:f>
        <x:v>1080</x:v>
      </x:c>
      <x:c r="D27" s="132" t="n">
        <x:f>C27*(1+D28)</x:f>
        <x:v>1134</x:v>
      </x:c>
      <x:c r="E27" s="132" t="n">
        <x:f>D27*(1+E28)</x:f>
        <x:v>1179.3600000000001</x:v>
      </x:c>
      <x:c r="F27" s="132" t="n">
        <x:f>E27*(1+F28)</x:f>
        <x:v>1214.7408000000003</x:v>
      </x:c>
      <x:c r="G27" s="132" t="n">
        <x:f>F27*(1+G28)</x:f>
        <x:v>1239.0356160000003</x:v>
      </x:c>
    </x:row>
    <x:row r="28">
      <x:c r="A28" t="str">
        <x:v>收入增长</x:v>
      </x:c>
      <x:c r="C28" s="133" t="n">
        <x:f>'估值假设'!$B$27</x:f>
        <x:v>0.08</x:v>
      </x:c>
      <x:c r="D28" s="133" t="n">
        <x:f>'估值假设'!$B$28</x:f>
        <x:v>0.05</x:v>
      </x:c>
      <x:c r="E28" s="133" t="n">
        <x:f>'估值假设'!$B$29</x:f>
        <x:v>0.04</x:v>
      </x:c>
      <x:c r="F28" s="133" t="n">
        <x:f>'估值假设'!$B$30</x:f>
        <x:v>0.03</x:v>
      </x:c>
      <x:c r="G28" s="133" t="n">
        <x:f>'估值假设'!$B$31</x:f>
        <x:v>0.02</x:v>
      </x:c>
    </x:row>
    <x:row r="29">
      <x:c r="A29" t="str">
        <x:v>息税前利润率（EBIT利润率）</x:v>
      </x:c>
      <x:c r="C29" s="133" t="n">
        <x:f>'估值假设'!$B$32</x:f>
        <x:v>0.125</x:v>
      </x:c>
      <x:c r="D29" s="133" t="n">
        <x:f>'估值假设'!$B$33</x:f>
        <x:v>0.13</x:v>
      </x:c>
      <x:c r="E29" s="133" t="n">
        <x:f>'估值假设'!$B$34</x:f>
        <x:v>0.135</x:v>
      </x:c>
      <x:c r="F29" s="133" t="n">
        <x:f>'估值假设'!$B$35</x:f>
        <x:v>0.138</x:v>
      </x:c>
      <x:c r="G29" s="133" t="n">
        <x:f>'估值假设'!$B$36</x:f>
        <x:v>0.14</x:v>
      </x:c>
    </x:row>
    <x:row r="30">
      <x:c r="A30" t="str">
        <x:v>息税前利润（EBIT）</x:v>
      </x:c>
      <x:c r="C30" s="132" t="n">
        <x:f>C27*C29</x:f>
        <x:v>135</x:v>
      </x:c>
      <x:c r="D30" s="132" t="n">
        <x:f>D27*D29</x:f>
        <x:v>147.42000000000002</x:v>
      </x:c>
      <x:c r="E30" s="132" t="n">
        <x:f>E27*E29</x:f>
        <x:v>159.2136</x:v>
      </x:c>
      <x:c r="F30" s="132" t="n">
        <x:f>F27*F29</x:f>
        <x:v>167.63423040000006</x:v>
      </x:c>
      <x:c r="G30" s="132" t="n">
        <x:f>G27*G29</x:f>
        <x:v>173.46498624000006</x:v>
      </x:c>
    </x:row>
    <x:row r="31">
      <x:c r="A31" t="str">
        <x:v>现金税率</x:v>
      </x:c>
      <x:c r="C31" s="133" t="n">
        <x:f>'估值假设'!$B$62</x:f>
        <x:v>0.25</x:v>
      </x:c>
      <x:c r="D31" s="133" t="n">
        <x:f>'估值假设'!$B$63</x:f>
        <x:v>0.25</x:v>
      </x:c>
      <x:c r="E31" s="133" t="n">
        <x:f>'估值假设'!$B$64</x:f>
        <x:v>0.25</x:v>
      </x:c>
      <x:c r="F31" s="133" t="n">
        <x:f>'估值假设'!$B$65</x:f>
        <x:v>0.25</x:v>
      </x:c>
      <x:c r="G31" s="133" t="n">
        <x:f>'估值假设'!$B$66</x:f>
        <x:v>0.25</x:v>
      </x:c>
    </x:row>
    <x:row r="32">
      <x:c r="A32" t="str">
        <x:v>税后经营利润（NOPAT）</x:v>
      </x:c>
      <x:c r="C32" s="132" t="n">
        <x:f>C30*(1-C31)</x:f>
        <x:v>101.25</x:v>
      </x:c>
      <x:c r="D32" s="132" t="n">
        <x:f>D30*(1-D31)</x:f>
        <x:v>110.56500000000001</x:v>
      </x:c>
      <x:c r="E32" s="132" t="n">
        <x:f>E30*(1-E31)</x:f>
        <x:v>119.4102</x:v>
      </x:c>
      <x:c r="F32" s="132" t="n">
        <x:f>F30*(1-F31)</x:f>
        <x:v>125.72567280000004</x:v>
      </x:c>
      <x:c r="G32" s="132" t="n">
        <x:f>G30*(1-G31)</x:f>
        <x:v>130.09873968000005</x:v>
      </x:c>
    </x:row>
    <x:row r="33">
      <x:c r="A33" t="str">
        <x:v>折旧与摊销（D&amp;A）</x:v>
      </x:c>
      <x:c r="C33" s="132" t="n">
        <x:f>C27*'估值假设'!$B$37</x:f>
        <x:v>42.12</x:v>
      </x:c>
      <x:c r="D33" s="132" t="n">
        <x:f>D27*'估值假设'!$B$38</x:f>
        <x:v>44.226</x:v>
      </x:c>
      <x:c r="E33" s="132" t="n">
        <x:f>E27*'估值假设'!$B$39</x:f>
        <x:v>44.81568</x:v>
      </x:c>
      <x:c r="F33" s="132" t="n">
        <x:f>F27*'估值假设'!$B$40</x:f>
        <x:v>46.160150400000006</x:v>
      </x:c>
      <x:c r="G33" s="132" t="n">
        <x:f>G27*'估值假设'!$B$41</x:f>
        <x:v>47.083353408000015</x:v>
      </x:c>
    </x:row>
    <x:row r="34">
      <x:c r="A34" t="str">
        <x:v>资本性支出（Capex）</x:v>
      </x:c>
      <x:c r="C34" s="132" t="n">
        <x:f>C27*'估值假设'!$B$42</x:f>
        <x:v>61.56</x:v>
      </x:c>
      <x:c r="D34" s="132" t="n">
        <x:f>D27*'估值假设'!$B$43</x:f>
        <x:v>60.102</x:v>
      </x:c>
      <x:c r="E34" s="132" t="n">
        <x:f>E27*'估值假设'!$B$44</x:f>
        <x:v>57.78864000000001</x:v>
      </x:c>
      <x:c r="F34" s="132" t="n">
        <x:f>F27*'估值假设'!$B$45</x:f>
        <x:v>55.87807680000001</x:v>
      </x:c>
      <x:c r="G34" s="132" t="n">
        <x:f>G27*'估值假设'!$B$46</x:f>
        <x:v>54.517567104000015</x:v>
      </x:c>
    </x:row>
    <x:row r="35">
      <x:c r="A35" t="str">
        <x:v>经营性净营运资本增加（ΔNWC）</x:v>
      </x:c>
      <x:c r="C35" s="132" t="n">
        <x:f>'估值假设'!$B$47</x:f>
        <x:v>12</x:v>
      </x:c>
      <x:c r="D35" s="132" t="n">
        <x:f>'估值假设'!$B$48</x:f>
        <x:v>8</x:v>
      </x:c>
      <x:c r="E35" s="132" t="n">
        <x:f>'估值假设'!$B$49</x:f>
        <x:v>7</x:v>
      </x:c>
      <x:c r="F35" s="132" t="n">
        <x:f>'估值假设'!$B$50</x:f>
        <x:v>5</x:v>
      </x:c>
      <x:c r="G35" s="132" t="n">
        <x:f>'估值假设'!$B$51</x:f>
        <x:v>4</x:v>
      </x:c>
    </x:row>
    <x:row r="36">
      <x:c r="A36" t="str">
        <x:v>其他非现金调整</x:v>
      </x:c>
      <x:c r="C36" s="132" t="n">
        <x:f>'估值假设'!$B$52</x:f>
        <x:v>0</x:v>
      </x:c>
      <x:c r="D36" s="132" t="n">
        <x:f>'估值假设'!$B$53</x:f>
        <x:v>0</x:v>
      </x:c>
      <x:c r="E36" s="132" t="n">
        <x:f>'估值假设'!$B$54</x:f>
        <x:v>0</x:v>
      </x:c>
      <x:c r="F36" s="132" t="n">
        <x:f>'估值假设'!$B$55</x:f>
        <x:v>0</x:v>
      </x:c>
      <x:c r="G36" s="132" t="n">
        <x:f>'估值假设'!$B$56</x:f>
        <x:v>0</x:v>
      </x:c>
    </x:row>
    <x:row r="37">
      <x:c r="A37" t="str">
        <x:v>其他经营性投资</x:v>
      </x:c>
      <x:c r="C37" s="132" t="n">
        <x:f>'估值假设'!$B$57</x:f>
        <x:v>0</x:v>
      </x:c>
      <x:c r="D37" s="132" t="n">
        <x:f>'估值假设'!$B$58</x:f>
        <x:v>0</x:v>
      </x:c>
      <x:c r="E37" s="132" t="n">
        <x:f>'估值假设'!$B$59</x:f>
        <x:v>0</x:v>
      </x:c>
      <x:c r="F37" s="132" t="n">
        <x:f>'估值假设'!$B$60</x:f>
        <x:v>0</x:v>
      </x:c>
      <x:c r="G37" s="132" t="n">
        <x:f>'估值假设'!$B$61</x:f>
        <x:v>0</x:v>
      </x:c>
    </x:row>
    <x:row r="38">
      <x:c r="A38" s="135" t="str">
        <x:v>企业自由现金流（FCFF）</x:v>
      </x:c>
      <x:c r="B38" s="135"/>
      <x:c r="C38" s="162" t="n">
        <x:f>C32+C33-C34-C35+IF(C36="",0,C36)-IF(C37="",0,C37)</x:f>
        <x:v>69.81</x:v>
      </x:c>
      <x:c r="D38" s="162" t="n">
        <x:f>D32+D33-D34-D35+IF(D36="",0,D36)-IF(D37="",0,D37)</x:f>
        <x:v>86.689</x:v>
      </x:c>
      <x:c r="E38" s="162" t="n">
        <x:f>E32+E33-E34-E35+IF(E36="",0,E36)-IF(E37="",0,E37)</x:f>
        <x:v>99.43724</x:v>
      </x:c>
      <x:c r="F38" s="162" t="n">
        <x:f>F32+F33-F34-F35+IF(F36="",0,F36)-IF(F37="",0,F37)</x:f>
        <x:v>111.00774640000006</x:v>
      </x:c>
      <x:c r="G38" s="162" t="n">
        <x:f>G32+G33-G34-G35+IF(G36="",0,G36)-IF(G37="",0,G37)</x:f>
        <x:v>118.66452598400005</x:v>
      </x:c>
    </x:row>
    <x:row r="39">
      <x:c r="A39" t="str">
        <x:v>折现时点</x:v>
      </x:c>
      <x:c r="C39" s="140" t="n">
        <x:f>'估值假设'!$B$67</x:f>
        <x:v>0.5</x:v>
      </x:c>
      <x:c r="D39" s="140" t="n">
        <x:f>'估值假设'!$B$68</x:f>
        <x:v>1.5</x:v>
      </x:c>
      <x:c r="E39" s="140" t="n">
        <x:f>'估值假设'!$B$69</x:f>
        <x:v>2.5</x:v>
      </x:c>
      <x:c r="F39" s="140" t="n">
        <x:f>'估值假设'!$B$70</x:f>
        <x:v>3.5</x:v>
      </x:c>
      <x:c r="G39" s="140" t="n">
        <x:f>'估值假设'!$B$71</x:f>
        <x:v>4.5</x:v>
      </x:c>
    </x:row>
    <x:row r="40">
      <x:c r="A40" t="str">
        <x:v>折现因子</x:v>
      </x:c>
      <x:c r="C40" s="140" t="n">
        <x:f>1/(1+$B$44)^C39</x:f>
        <x:v>0.96127187353975</x:v>
      </x:c>
      <x:c r="D40" s="140" t="n">
        <x:f>1/(1+$B$44)^D39</x:f>
        <x:v>0.8882571368875901</x:v>
      </x:c>
      <x:c r="E40" s="140" t="n">
        <x:f>1/(1+$B$44)^E39</x:f>
        <x:v>0.820788335693578</x:v>
      </x:c>
      <x:c r="F40" s="140" t="n">
        <x:f>1/(1+$B$44)^F39</x:f>
        <x:v>0.7584442207480854</x:v>
      </x:c>
      <x:c r="G40" s="140" t="n">
        <x:f>1/(1+$B$44)^G39</x:f>
        <x:v>0.7008355394086909</x:v>
      </x:c>
    </x:row>
    <x:row r="41">
      <x:c r="A41" t="str">
        <x:v>折现后FCFF</x:v>
      </x:c>
      <x:c r="C41" s="132" t="n">
        <x:f>C38*C40</x:f>
        <x:v>67.10638949180995</x:v>
      </x:c>
      <x:c r="D41" s="132" t="n">
        <x:f>D38*D40</x:f>
        <x:v>77.00212293964829</x:v>
      </x:c>
      <x:c r="E41" s="132" t="n">
        <x:f>E38*E40</x:f>
        <x:v>81.61692672556289</x:v>
      </x:c>
      <x:c r="F41" s="132" t="n">
        <x:f>F38*F40</x:f>
        <x:v>84.19318371534912</x:v>
      </x:c>
      <x:c r="G41" s="132" t="n">
        <x:f>G38*G40</x:f>
        <x:v>83.1643170766733</x:v>
      </x:c>
    </x:row>
    <x:row r="43">
      <x:c r="A43" t="str">
        <x:v>显性期FCFF现值</x:v>
      </x:c>
      <x:c r="B43" s="132" t="n">
        <x:f>SUM(C41:G41)</x:f>
        <x:v>393.0829399490435</x:v>
      </x:c>
    </x:row>
    <x:row r="44">
      <x:c r="A44" t="str">
        <x:v>加权平均资本成本（WACC）</x:v>
      </x:c>
      <x:c r="B44" s="133" t="n">
        <x:f>'估值假设'!$B$22+'估值假设'!$B$72</x:f>
        <x:v>0.08220000000000001</x:v>
      </x:c>
    </x:row>
    <x:row r="45">
      <x:c r="A45" t="str">
        <x:v>永续增长率（g）</x:v>
      </x:c>
      <x:c r="B45" s="133" t="n">
        <x:f>'估值假设'!$B$73</x:f>
        <x:v>0.015</x:v>
      </x:c>
    </x:row>
    <x:row r="46">
      <x:c r="A46" t="str">
        <x:v>终值FCFF</x:v>
      </x:c>
      <x:c r="B46" s="132" t="n">
        <x:f>IF('估值假设'!$B$75="",G38,'估值假设'!$B$75)</x:f>
        <x:v>118.66452598400005</x:v>
      </x:c>
    </x:row>
    <x:row r="47">
      <x:c r="A47" t="str">
        <x:v>终值（TV）</x:v>
      </x:c>
      <x:c r="B47" s="132" t="n">
        <x:f>B46*(1+B45)/(B44-B45)</x:f>
        <x:v>1792.3287778833337</x:v>
      </x:c>
    </x:row>
    <x:row r="48">
      <x:c r="A48" t="str">
        <x:v>终值现值</x:v>
      </x:c>
      <x:c r="B48" s="132" t="n">
        <x:f>B47/(1+B44)^'估值假设'!$B$74</x:f>
        <x:v>1207.4802332033746</x:v>
      </x:c>
    </x:row>
    <x:row r="49">
      <x:c r="A49" t="str">
        <x:v>企业价值（EV）</x:v>
      </x:c>
      <x:c r="B49" s="132" t="n">
        <x:f>B43+B48</x:f>
        <x:v>1600.5631731524181</x:v>
      </x:c>
    </x:row>
    <x:row r="50">
      <x:c r="A50" t="str">
        <x:v>普通股权益价值</x:v>
      </x:c>
      <x:c r="B50" s="132" t="n">
        <x:f>B49+'估值假设'!$G$15+'估值假设'!$G$16+'估值假设'!$G$17-SUM('估值假设'!$G$18:$G$23)</x:f>
        <x:v>1495.5631731524181</x:v>
      </x:c>
    </x:row>
    <x:row r="51">
      <x:c r="A51" t="str">
        <x:v>完全稀释股份数</x:v>
      </x:c>
      <x:c r="B51" s="132" t="n">
        <x:f>'估值假设'!$G$24</x:f>
        <x:v>100</x:v>
      </x:c>
    </x:row>
    <x:row r="52">
      <x:c r="A52" t="str">
        <x:v>每股价值</x:v>
      </x:c>
      <x:c r="B52" s="141" t="n">
        <x:f>B50/B51</x:f>
        <x:v>14.955631731524182</x:v>
      </x:c>
    </x:row>
    <x:row r="56">
      <x:c r="A56" s="9" t="str">
        <x:v>基准 情景完整经营现金流</x:v>
      </x:c>
    </x:row>
    <x:row r="58">
      <x:c r="A58" s="46" t="str">
        <x:v>人民币百万元</x:v>
      </x:c>
      <x:c r="B58" s="51"/>
      <x:c r="C58" s="51" t="str">
        <x:v>2027E</x:v>
      </x:c>
      <x:c r="D58" s="51" t="str">
        <x:v>2028E</x:v>
      </x:c>
      <x:c r="E58" s="51" t="str">
        <x:v>2029E</x:v>
      </x:c>
      <x:c r="F58" s="51" t="str">
        <x:v>2030E</x:v>
      </x:c>
      <x:c r="G58" s="47" t="str">
        <x:v>2031E</x:v>
      </x:c>
    </x:row>
    <x:row r="60">
      <x:c r="A60" t="str">
        <x:v>收入</x:v>
      </x:c>
      <x:c r="C60" s="132" t="n">
        <x:f>'经营预测'!$D$5*(1+C61)</x:f>
        <x:v>1120</x:v>
      </x:c>
      <x:c r="D60" s="132" t="n">
        <x:f>C60*(1+D61)</x:f>
        <x:v>1232</x:v>
      </x:c>
      <x:c r="E60" s="132" t="n">
        <x:f>D60*(1+E61)</x:f>
        <x:v>1330.5600000000002</x:v>
      </x:c>
      <x:c r="F60" s="132" t="n">
        <x:f>E60*(1+F61)</x:f>
        <x:v>1410.3936000000003</x:v>
      </x:c>
      <x:c r="G60" s="132" t="n">
        <x:f>F60*(1+G61)</x:f>
        <x:v>1480.9132800000004</x:v>
      </x:c>
    </x:row>
    <x:row r="61">
      <x:c r="A61" t="str">
        <x:v>收入增长</x:v>
      </x:c>
      <x:c r="C61" s="133" t="n">
        <x:f>'估值假设'!$C$27</x:f>
        <x:v>0.12</x:v>
      </x:c>
      <x:c r="D61" s="133" t="n">
        <x:f>'估值假设'!$C$28</x:f>
        <x:v>0.1</x:v>
      </x:c>
      <x:c r="E61" s="133" t="n">
        <x:f>'估值假设'!$C$29</x:f>
        <x:v>0.08</x:v>
      </x:c>
      <x:c r="F61" s="133" t="n">
        <x:f>'估值假设'!$C$30</x:f>
        <x:v>0.06</x:v>
      </x:c>
      <x:c r="G61" s="133" t="n">
        <x:f>'估值假设'!$C$31</x:f>
        <x:v>0.05</x:v>
      </x:c>
    </x:row>
    <x:row r="62">
      <x:c r="A62" t="str">
        <x:v>息税前利润率（EBIT利润率）</x:v>
      </x:c>
      <x:c r="C62" s="133" t="n">
        <x:f>'估值假设'!$C$32</x:f>
        <x:v>0.14</x:v>
      </x:c>
      <x:c r="D62" s="133" t="n">
        <x:f>'估值假设'!$C$33</x:f>
        <x:v>0.15</x:v>
      </x:c>
      <x:c r="E62" s="133" t="n">
        <x:f>'估值假设'!$C$34</x:f>
        <x:v>0.16</x:v>
      </x:c>
      <x:c r="F62" s="133" t="n">
        <x:f>'估值假设'!$C$35</x:f>
        <x:v>0.165</x:v>
      </x:c>
      <x:c r="G62" s="133" t="n">
        <x:f>'估值假设'!$C$36</x:f>
        <x:v>0.17</x:v>
      </x:c>
    </x:row>
    <x:row r="63">
      <x:c r="A63" t="str">
        <x:v>息税前利润（EBIT）</x:v>
      </x:c>
      <x:c r="C63" s="132" t="n">
        <x:f>C60*C62</x:f>
        <x:v>156.8</x:v>
      </x:c>
      <x:c r="D63" s="132" t="n">
        <x:f>D60*D62</x:f>
        <x:v>184.79999999999998</x:v>
      </x:c>
      <x:c r="E63" s="132" t="n">
        <x:f>E60*E62</x:f>
        <x:v>212.88960000000003</x:v>
      </x:c>
      <x:c r="F63" s="132" t="n">
        <x:f>F60*F62</x:f>
        <x:v>232.71494400000006</x:v>
      </x:c>
      <x:c r="G63" s="132" t="n">
        <x:f>G60*G62</x:f>
        <x:v>251.7552576000001</x:v>
      </x:c>
    </x:row>
    <x:row r="64">
      <x:c r="A64" t="str">
        <x:v>现金税率</x:v>
      </x:c>
      <x:c r="C64" s="133" t="n">
        <x:f>'估值假设'!$C$62</x:f>
        <x:v>0.25</x:v>
      </x:c>
      <x:c r="D64" s="133" t="n">
        <x:f>'估值假设'!$C$63</x:f>
        <x:v>0.25</x:v>
      </x:c>
      <x:c r="E64" s="133" t="n">
        <x:f>'估值假设'!$C$64</x:f>
        <x:v>0.25</x:v>
      </x:c>
      <x:c r="F64" s="133" t="n">
        <x:f>'估值假设'!$C$65</x:f>
        <x:v>0.25</x:v>
      </x:c>
      <x:c r="G64" s="133" t="n">
        <x:f>'估值假设'!$C$66</x:f>
        <x:v>0.25</x:v>
      </x:c>
    </x:row>
    <x:row r="65">
      <x:c r="A65" t="str">
        <x:v>税后经营利润（NOPAT）</x:v>
      </x:c>
      <x:c r="C65" s="132" t="n">
        <x:f>C63*(1-C64)</x:f>
        <x:v>117.60000000000001</x:v>
      </x:c>
      <x:c r="D65" s="132" t="n">
        <x:f>D63*(1-D64)</x:f>
        <x:v>138.6</x:v>
      </x:c>
      <x:c r="E65" s="132" t="n">
        <x:f>E63*(1-E64)</x:f>
        <x:v>159.66720000000004</x:v>
      </x:c>
      <x:c r="F65" s="132" t="n">
        <x:f>F63*(1-F64)</x:f>
        <x:v>174.53620800000004</x:v>
      </x:c>
      <x:c r="G65" s="132" t="n">
        <x:f>G63*(1-G64)</x:f>
        <x:v>188.8164432000001</x:v>
      </x:c>
    </x:row>
    <x:row r="66">
      <x:c r="A66" t="str">
        <x:v>折旧与摊销（D&amp;A）</x:v>
      </x:c>
      <x:c r="C66" s="132" t="n">
        <x:f>C60*'估值假设'!$C$37</x:f>
        <x:v>42.56</x:v>
      </x:c>
      <x:c r="D66" s="132" t="n">
        <x:f>D60*'估值假设'!$C$38</x:f>
        <x:v>46.815999999999995</x:v>
      </x:c>
      <x:c r="E66" s="132" t="n">
        <x:f>E60*'估值假设'!$C$39</x:f>
        <x:v>50.561280000000004</x:v>
      </x:c>
      <x:c r="F66" s="132" t="n">
        <x:f>F60*'估值假设'!$C$40</x:f>
        <x:v>53.59495680000001</x:v>
      </x:c>
      <x:c r="G66" s="132" t="n">
        <x:f>G60*'估值假设'!$C$41</x:f>
        <x:v>54.793791360000014</x:v>
      </x:c>
    </x:row>
    <x:row r="67">
      <x:c r="A67" t="str">
        <x:v>资本性支出（Capex）</x:v>
      </x:c>
      <x:c r="C67" s="132" t="n">
        <x:f>C60*'估值假设'!$C$42</x:f>
        <x:v>52.64</x:v>
      </x:c>
      <x:c r="D67" s="132" t="n">
        <x:f>D60*'估值假设'!$C$43</x:f>
        <x:v>57.904</x:v>
      </x:c>
      <x:c r="E67" s="132" t="n">
        <x:f>E60*'估值假设'!$C$44</x:f>
        <x:v>61.205760000000005</x:v>
      </x:c>
      <x:c r="F67" s="132" t="n">
        <x:f>F60*'估值假设'!$C$45</x:f>
        <x:v>63.46771200000001</x:v>
      </x:c>
      <x:c r="G67" s="132" t="n">
        <x:f>G60*'估值假设'!$C$46</x:f>
        <x:v>66.64109760000002</x:v>
      </x:c>
    </x:row>
    <x:row r="68">
      <x:c r="A68" t="str">
        <x:v>经营性净营运资本增加（ΔNWC）</x:v>
      </x:c>
      <x:c r="C68" s="132" t="n">
        <x:f>'估值假设'!$C$47</x:f>
        <x:v>18</x:v>
      </x:c>
      <x:c r="D68" s="132" t="n">
        <x:f>'估值假设'!$C$48</x:f>
        <x:v>17</x:v>
      </x:c>
      <x:c r="E68" s="132" t="n">
        <x:f>'估值假设'!$C$49</x:f>
        <x:v>15</x:v>
      </x:c>
      <x:c r="F68" s="132" t="n">
        <x:f>'估值假设'!$C$50</x:f>
        <x:v>12</x:v>
      </x:c>
      <x:c r="G68" s="132" t="n">
        <x:f>'估值假设'!$C$51</x:f>
        <x:v>11</x:v>
      </x:c>
    </x:row>
    <x:row r="69">
      <x:c r="A69" t="str">
        <x:v>其他非现金调整</x:v>
      </x:c>
      <x:c r="C69" s="132" t="n">
        <x:f>'估值假设'!$C$52</x:f>
        <x:v>0</x:v>
      </x:c>
      <x:c r="D69" s="132" t="n">
        <x:f>'估值假设'!$C$53</x:f>
        <x:v>0</x:v>
      </x:c>
      <x:c r="E69" s="132" t="n">
        <x:f>'估值假设'!$C$54</x:f>
        <x:v>0</x:v>
      </x:c>
      <x:c r="F69" s="132" t="n">
        <x:f>'估值假设'!$C$55</x:f>
        <x:v>0</x:v>
      </x:c>
      <x:c r="G69" s="132" t="n">
        <x:f>'估值假设'!$C$56</x:f>
        <x:v>0</x:v>
      </x:c>
    </x:row>
    <x:row r="70">
      <x:c r="A70" t="str">
        <x:v>其他经营性投资</x:v>
      </x:c>
      <x:c r="C70" s="132" t="n">
        <x:f>'估值假设'!$C$57</x:f>
        <x:v>0</x:v>
      </x:c>
      <x:c r="D70" s="132" t="n">
        <x:f>'估值假设'!$C$58</x:f>
        <x:v>0</x:v>
      </x:c>
      <x:c r="E70" s="132" t="n">
        <x:f>'估值假设'!$C$59</x:f>
        <x:v>0</x:v>
      </x:c>
      <x:c r="F70" s="132" t="n">
        <x:f>'估值假设'!$C$60</x:f>
        <x:v>0</x:v>
      </x:c>
      <x:c r="G70" s="132" t="n">
        <x:f>'估值假设'!$C$61</x:f>
        <x:v>0</x:v>
      </x:c>
    </x:row>
    <x:row r="71">
      <x:c r="A71" s="135" t="str">
        <x:v>企业自由现金流（FCFF）</x:v>
      </x:c>
      <x:c r="B71" s="135"/>
      <x:c r="C71" s="162" t="n">
        <x:f>C65+C66-C67-C68+IF(C69="",0,C69)-IF(C70="",0,C70)</x:f>
        <x:v>89.52000000000002</x:v>
      </x:c>
      <x:c r="D71" s="162" t="n">
        <x:f>D65+D66-D67-D68+IF(D69="",0,D69)-IF(D70="",0,D70)</x:f>
        <x:v>110.512</x:v>
      </x:c>
      <x:c r="E71" s="162" t="n">
        <x:f>E65+E66-E67-E68+IF(E69="",0,E69)-IF(E70="",0,E70)</x:f>
        <x:v>134.02272000000005</x:v>
      </x:c>
      <x:c r="F71" s="162" t="n">
        <x:f>F65+F66-F67-F68+IF(F69="",0,F69)-IF(F70="",0,F70)</x:f>
        <x:v>152.66345280000004</x:v>
      </x:c>
      <x:c r="G71" s="162" t="n">
        <x:f>G65+G66-G67-G68+IF(G69="",0,G69)-IF(G70="",0,G70)</x:f>
        <x:v>165.96913696000007</x:v>
      </x:c>
    </x:row>
    <x:row r="72">
      <x:c r="A72" t="str">
        <x:v>折现时点</x:v>
      </x:c>
      <x:c r="C72" s="140" t="n">
        <x:f>'估值假设'!$C$67</x:f>
        <x:v>0.5</x:v>
      </x:c>
      <x:c r="D72" s="140" t="n">
        <x:f>'估值假设'!$C$68</x:f>
        <x:v>1.5</x:v>
      </x:c>
      <x:c r="E72" s="140" t="n">
        <x:f>'估值假设'!$C$69</x:f>
        <x:v>2.5</x:v>
      </x:c>
      <x:c r="F72" s="140" t="n">
        <x:f>'估值假设'!$C$70</x:f>
        <x:v>3.5</x:v>
      </x:c>
      <x:c r="G72" s="140" t="n">
        <x:f>'估值假设'!$C$71</x:f>
        <x:v>4.5</x:v>
      </x:c>
    </x:row>
    <x:row r="73">
      <x:c r="A73" t="str">
        <x:v>折现因子</x:v>
      </x:c>
      <x:c r="C73" s="140" t="n">
        <x:f>1/(1+$B$77)^C72</x:f>
        <x:v>0.9657441777330159</x:v>
      </x:c>
      <x:c r="D73" s="140" t="n">
        <x:f>1/(1+$B$77)^D72</x:f>
        <x:v>0.900712719392852</x:v>
      </x:c>
      <x:c r="E73" s="140" t="n">
        <x:f>1/(1+$B$77)^E72</x:f>
        <x:v>0.8400603613065212</x:v>
      </x:c>
      <x:c r="F73" s="140" t="n">
        <x:f>1/(1+$B$77)^F72</x:f>
        <x:v>0.78349222281899</x:v>
      </x:c>
      <x:c r="G73" s="140" t="n">
        <x:f>1/(1+$B$77)^G72</x:f>
        <x:v>0.7307332800027887</x:v>
      </x:c>
    </x:row>
    <x:row r="74">
      <x:c r="A74" t="str">
        <x:v>折现后FCFF</x:v>
      </x:c>
      <x:c r="C74" s="132" t="n">
        <x:f>C71*C73</x:f>
        <x:v>86.45341879065961</x:v>
      </x:c>
      <x:c r="D74" s="132" t="n">
        <x:f>D71*D73</x:f>
        <x:v>99.53956404554286</x:v>
      </x:c>
      <x:c r="E74" s="132" t="n">
        <x:f>E71*E73</x:f>
        <x:v>112.58717458648276</x:v>
      </x:c>
      <x:c r="F74" s="132" t="n">
        <x:f>F71*F73</x:f>
        <x:v>119.610627977494</x:v>
      </x:c>
      <x:c r="G74" s="132" t="n">
        <x:f>G71*G73</x:f>
        <x:v>121.27917183001291</x:v>
      </x:c>
    </x:row>
    <x:row r="76">
      <x:c r="A76" t="str">
        <x:v>显性期FCFF现值</x:v>
      </x:c>
      <x:c r="B76" s="132" t="n">
        <x:f>SUM(C74:G74)</x:f>
        <x:v>539.4699572301922</x:v>
      </x:c>
    </x:row>
    <x:row r="77">
      <x:c r="A77" t="str">
        <x:v>加权平均资本成本（WACC）</x:v>
      </x:c>
      <x:c r="B77" s="133" t="n">
        <x:f>'估值假设'!$B$22+'估值假设'!$C$72</x:f>
        <x:v>0.07220000000000001</x:v>
      </x:c>
    </x:row>
    <x:row r="78">
      <x:c r="A78" t="str">
        <x:v>永续增长率（g）</x:v>
      </x:c>
      <x:c r="B78" s="133" t="n">
        <x:f>'估值假设'!$C$73</x:f>
        <x:v>0.025</x:v>
      </x:c>
    </x:row>
    <x:row r="79">
      <x:c r="A79" t="str">
        <x:v>终值FCFF</x:v>
      </x:c>
      <x:c r="B79" s="132" t="n">
        <x:f>IF('估值假设'!$C$75="",G71,'估值假设'!$C$75)</x:f>
        <x:v>165.96913696000007</x:v>
      </x:c>
    </x:row>
    <x:row r="80">
      <x:c r="A80" t="str">
        <x:v>终值（TV）</x:v>
      </x:c>
      <x:c r="B80" s="132" t="n">
        <x:f>B79*(1+B78)/(B77-B78)</x:f>
        <x:v>3604.2026564406783</x:v>
      </x:c>
    </x:row>
    <x:row r="81">
      <x:c r="A81" t="str">
        <x:v>终值现值</x:v>
      </x:c>
      <x:c r="B81" s="132" t="n">
        <x:f>B80/(1+B77)^'估值假设'!$C$74</x:f>
        <x:v>2543.49089887701</x:v>
      </x:c>
    </x:row>
    <x:row r="82">
      <x:c r="A82" t="str">
        <x:v>企业价值（EV）</x:v>
      </x:c>
      <x:c r="B82" s="132" t="n">
        <x:f>B76+B81</x:f>
        <x:v>3082.960856107202</x:v>
      </x:c>
    </x:row>
    <x:row r="83">
      <x:c r="A83" t="str">
        <x:v>普通股权益价值</x:v>
      </x:c>
      <x:c r="B83" s="132" t="n">
        <x:f>B82+'估值假设'!$G$15+'估值假设'!$G$16+'估值假设'!$G$17-SUM('估值假设'!$G$18:$G$23)</x:f>
        <x:v>2977.960856107202</x:v>
      </x:c>
    </x:row>
    <x:row r="84">
      <x:c r="A84" t="str">
        <x:v>完全稀释股份数</x:v>
      </x:c>
      <x:c r="B84" s="132" t="n">
        <x:f>'估值假设'!$G$24</x:f>
        <x:v>100</x:v>
      </x:c>
    </x:row>
    <x:row r="85">
      <x:c r="A85" t="str">
        <x:v>每股价值</x:v>
      </x:c>
      <x:c r="B85" s="141" t="n">
        <x:f>B83/B84</x:f>
        <x:v>29.779608561072017</x:v>
      </x:c>
    </x:row>
    <x:row r="89">
      <x:c r="A89" s="9" t="str">
        <x:v>乐观 情景完整经营现金流</x:v>
      </x:c>
    </x:row>
    <x:row r="91">
      <x:c r="A91" s="46" t="str">
        <x:v>人民币百万元</x:v>
      </x:c>
      <x:c r="B91" s="51"/>
      <x:c r="C91" s="51" t="str">
        <x:v>2027E</x:v>
      </x:c>
      <x:c r="D91" s="51" t="str">
        <x:v>2028E</x:v>
      </x:c>
      <x:c r="E91" s="51" t="str">
        <x:v>2029E</x:v>
      </x:c>
      <x:c r="F91" s="51" t="str">
        <x:v>2030E</x:v>
      </x:c>
      <x:c r="G91" s="47" t="str">
        <x:v>2031E</x:v>
      </x:c>
    </x:row>
    <x:row r="93">
      <x:c r="A93" t="str">
        <x:v>收入</x:v>
      </x:c>
      <x:c r="C93" s="132" t="n">
        <x:f>'经营预测'!$D$5*(1+C94)</x:f>
        <x:v>1160</x:v>
      </x:c>
      <x:c r="D93" s="132" t="n">
        <x:f>C93*(1+D94)</x:f>
        <x:v>1322.4</x:v>
      </x:c>
      <x:c r="E93" s="132" t="n">
        <x:f>D93*(1+E94)</x:f>
        <x:v>1481.0880000000002</x:v>
      </x:c>
      <x:c r="F93" s="132" t="n">
        <x:f>E93*(1+F94)</x:f>
        <x:v>1599.5750400000004</x:v>
      </x:c>
      <x:c r="G93" s="132" t="n">
        <x:f>F93*(1+G94)</x:f>
        <x:v>1695.5495424000005</x:v>
      </x:c>
    </x:row>
    <x:row r="94">
      <x:c r="A94" t="str">
        <x:v>收入增长</x:v>
      </x:c>
      <x:c r="C94" s="133" t="n">
        <x:f>'估值假设'!$D$27</x:f>
        <x:v>0.16</x:v>
      </x:c>
      <x:c r="D94" s="133" t="n">
        <x:f>'估值假设'!$D$28</x:f>
        <x:v>0.14</x:v>
      </x:c>
      <x:c r="E94" s="133" t="n">
        <x:f>'估值假设'!$D$29</x:f>
        <x:v>0.12</x:v>
      </x:c>
      <x:c r="F94" s="133" t="n">
        <x:f>'估值假设'!$D$30</x:f>
        <x:v>0.08</x:v>
      </x:c>
      <x:c r="G94" s="133" t="n">
        <x:f>'估值假设'!$D$31</x:f>
        <x:v>0.06</x:v>
      </x:c>
    </x:row>
    <x:row r="95">
      <x:c r="A95" t="str">
        <x:v>息税前利润率（EBIT利润率）</x:v>
      </x:c>
      <x:c r="C95" s="133" t="n">
        <x:f>'估值假设'!$D$32</x:f>
        <x:v>0.15</x:v>
      </x:c>
      <x:c r="D95" s="133" t="n">
        <x:f>'估值假设'!$D$33</x:f>
        <x:v>0.165</x:v>
      </x:c>
      <x:c r="E95" s="133" t="n">
        <x:f>'估值假设'!$D$34</x:f>
        <x:v>0.18</x:v>
      </x:c>
      <x:c r="F95" s="133" t="n">
        <x:f>'估值假设'!$D$35</x:f>
        <x:v>0.19</x:v>
      </x:c>
      <x:c r="G95" s="133" t="n">
        <x:f>'估值假设'!$D$36</x:f>
        <x:v>0.195</x:v>
      </x:c>
    </x:row>
    <x:row r="96">
      <x:c r="A96" t="str">
        <x:v>息税前利润（EBIT）</x:v>
      </x:c>
      <x:c r="C96" s="132" t="n">
        <x:f>C93*C95</x:f>
        <x:v>174</x:v>
      </x:c>
      <x:c r="D96" s="132" t="n">
        <x:f>D93*D95</x:f>
        <x:v>218.19600000000003</x:v>
      </x:c>
      <x:c r="E96" s="132" t="n">
        <x:f>E93*E95</x:f>
        <x:v>266.59584</x:v>
      </x:c>
      <x:c r="F96" s="132" t="n">
        <x:f>F93*F95</x:f>
        <x:v>303.9192576000001</x:v>
      </x:c>
      <x:c r="G96" s="132" t="n">
        <x:f>G93*G95</x:f>
        <x:v>330.6321607680001</x:v>
      </x:c>
    </x:row>
    <x:row r="97">
      <x:c r="A97" t="str">
        <x:v>现金税率</x:v>
      </x:c>
      <x:c r="C97" s="133" t="n">
        <x:f>'估值假设'!$D$62</x:f>
        <x:v>0.24</x:v>
      </x:c>
      <x:c r="D97" s="133" t="n">
        <x:f>'估值假设'!$D$63</x:f>
        <x:v>0.24</x:v>
      </x:c>
      <x:c r="E97" s="133" t="n">
        <x:f>'估值假设'!$D$64</x:f>
        <x:v>0.24</x:v>
      </x:c>
      <x:c r="F97" s="133" t="n">
        <x:f>'估值假设'!$D$65</x:f>
        <x:v>0.24</x:v>
      </x:c>
      <x:c r="G97" s="133" t="n">
        <x:f>'估值假设'!$D$66</x:f>
        <x:v>0.24</x:v>
      </x:c>
    </x:row>
    <x:row r="98">
      <x:c r="A98" t="str">
        <x:v>税后经营利润（NOPAT）</x:v>
      </x:c>
      <x:c r="C98" s="132" t="n">
        <x:f>C96*(1-C97)</x:f>
        <x:v>132.24</x:v>
      </x:c>
      <x:c r="D98" s="132" t="n">
        <x:f>D96*(1-D97)</x:f>
        <x:v>165.82896000000002</x:v>
      </x:c>
      <x:c r="E98" s="132" t="n">
        <x:f>E96*(1-E97)</x:f>
        <x:v>202.61283840000002</x:v>
      </x:c>
      <x:c r="F98" s="132" t="n">
        <x:f>F96*(1-F97)</x:f>
        <x:v>230.97863577600006</x:v>
      </x:c>
      <x:c r="G98" s="132" t="n">
        <x:f>G96*(1-G97)</x:f>
        <x:v>251.2804421836801</x:v>
      </x:c>
    </x:row>
    <x:row r="99">
      <x:c r="A99" t="str">
        <x:v>折旧与摊销（D&amp;A）</x:v>
      </x:c>
      <x:c r="C99" s="132" t="n">
        <x:f>C93*'估值假设'!$D$37</x:f>
        <x:v>44.08</x:v>
      </x:c>
      <x:c r="D99" s="132" t="n">
        <x:f>D93*'估值假设'!$D$38</x:f>
        <x:v>50.251200000000004</x:v>
      </x:c>
      <x:c r="E99" s="132" t="n">
        <x:f>E93*'估值假设'!$D$39</x:f>
        <x:v>56.281344000000004</x:v>
      </x:c>
      <x:c r="F99" s="132" t="n">
        <x:f>F93*'估值假设'!$D$40</x:f>
        <x:v>60.78385152000001</x:v>
      </x:c>
      <x:c r="G99" s="132" t="n">
        <x:f>G93*'估值假设'!$D$41</x:f>
        <x:v>62.73533306880002</x:v>
      </x:c>
    </x:row>
    <x:row r="100">
      <x:c r="A100" t="str">
        <x:v>资本性支出（Capex）</x:v>
      </x:c>
      <x:c r="C100" s="132" t="n">
        <x:f>C93*'估值假设'!$D$42</x:f>
        <x:v>68.44</x:v>
      </x:c>
      <x:c r="D100" s="132" t="n">
        <x:f>D93*'估值假设'!$D$43</x:f>
        <x:v>74.0544</x:v>
      </x:c>
      <x:c r="E100" s="132" t="n">
        <x:f>E93*'估值假设'!$D$44</x:f>
        <x:v>78.49766400000001</x:v>
      </x:c>
      <x:c r="F100" s="132" t="n">
        <x:f>F93*'估值假设'!$D$45</x:f>
        <x:v>78.37917696000002</x:v>
      </x:c>
      <x:c r="G100" s="132" t="n">
        <x:f>G93*'估值假设'!$D$46</x:f>
        <x:v>76.29972940800002</x:v>
      </x:c>
    </x:row>
    <x:row r="101">
      <x:c r="A101" t="str">
        <x:v>经营性净营运资本增加（ΔNWC）</x:v>
      </x:c>
      <x:c r="C101" s="132" t="n">
        <x:f>'估值假设'!$D$47</x:f>
        <x:v>24</x:v>
      </x:c>
      <x:c r="D101" s="132" t="n">
        <x:f>'估值假设'!$D$48</x:f>
        <x:v>24</x:v>
      </x:c>
      <x:c r="E101" s="132" t="n">
        <x:f>'估值假设'!$D$49</x:f>
        <x:v>24</x:v>
      </x:c>
      <x:c r="F101" s="132" t="n">
        <x:f>'估值假设'!$D$50</x:f>
        <x:v>18</x:v>
      </x:c>
      <x:c r="G101" s="132" t="n">
        <x:f>'估值假设'!$D$51</x:f>
        <x:v>14</x:v>
      </x:c>
    </x:row>
    <x:row r="102">
      <x:c r="A102" t="str">
        <x:v>其他非现金调整</x:v>
      </x:c>
      <x:c r="C102" s="132" t="n">
        <x:f>'估值假设'!$D$52</x:f>
        <x:v>0</x:v>
      </x:c>
      <x:c r="D102" s="132" t="n">
        <x:f>'估值假设'!$D$53</x:f>
        <x:v>0</x:v>
      </x:c>
      <x:c r="E102" s="132" t="n">
        <x:f>'估值假设'!$D$54</x:f>
        <x:v>0</x:v>
      </x:c>
      <x:c r="F102" s="132" t="n">
        <x:f>'估值假设'!$D$55</x:f>
        <x:v>0</x:v>
      </x:c>
      <x:c r="G102" s="132" t="n">
        <x:f>'估值假设'!$D$56</x:f>
        <x:v>0</x:v>
      </x:c>
    </x:row>
    <x:row r="103">
      <x:c r="A103" t="str">
        <x:v>其他经营性投资</x:v>
      </x:c>
      <x:c r="C103" s="132" t="n">
        <x:f>'估值假设'!$D$57</x:f>
        <x:v>0</x:v>
      </x:c>
      <x:c r="D103" s="132" t="n">
        <x:f>'估值假设'!$D$58</x:f>
        <x:v>0</x:v>
      </x:c>
      <x:c r="E103" s="132" t="n">
        <x:f>'估值假设'!$D$59</x:f>
        <x:v>0</x:v>
      </x:c>
      <x:c r="F103" s="132" t="n">
        <x:f>'估值假设'!$D$60</x:f>
        <x:v>0</x:v>
      </x:c>
      <x:c r="G103" s="132" t="n">
        <x:f>'估值假设'!$D$61</x:f>
        <x:v>0</x:v>
      </x:c>
    </x:row>
    <x:row r="104">
      <x:c r="A104" s="135" t="str">
        <x:v>企业自由现金流（FCFF）</x:v>
      </x:c>
      <x:c r="B104" s="135"/>
      <x:c r="C104" s="162" t="n">
        <x:f>C98+C99-C100-C101+IF(C102="",0,C102)-IF(C103="",0,C103)</x:f>
        <x:v>83.88</x:v>
      </x:c>
      <x:c r="D104" s="162" t="n">
        <x:f>D98+D99-D100-D101+IF(D102="",0,D102)-IF(D103="",0,D103)</x:f>
        <x:v>118.02576000000005</x:v>
      </x:c>
      <x:c r="E104" s="162" t="n">
        <x:f>E98+E99-E100-E101+IF(E102="",0,E102)-IF(E103="",0,E103)</x:f>
        <x:v>156.39651840000002</x:v>
      </x:c>
      <x:c r="F104" s="162" t="n">
        <x:f>F98+F99-F100-F101+IF(F102="",0,F102)-IF(F103="",0,F103)</x:f>
        <x:v>195.38331033600005</x:v>
      </x:c>
      <x:c r="G104" s="162" t="n">
        <x:f>G98+G99-G100-G101+IF(G102="",0,G102)-IF(G103="",0,G103)</x:f>
        <x:v>223.7160458444801</x:v>
      </x:c>
    </x:row>
    <x:row r="105">
      <x:c r="A105" t="str">
        <x:v>折现时点</x:v>
      </x:c>
      <x:c r="C105" s="140" t="n">
        <x:f>'估值假设'!$D$67</x:f>
        <x:v>0.5</x:v>
      </x:c>
      <x:c r="D105" s="140" t="n">
        <x:f>'估值假设'!$D$68</x:f>
        <x:v>1.5</x:v>
      </x:c>
      <x:c r="E105" s="140" t="n">
        <x:f>'估值假设'!$D$69</x:f>
        <x:v>2.5</x:v>
      </x:c>
      <x:c r="F105" s="140" t="n">
        <x:f>'估值假设'!$D$70</x:f>
        <x:v>3.5</x:v>
      </x:c>
      <x:c r="G105" s="140" t="n">
        <x:f>'估值假设'!$D$71</x:f>
        <x:v>4.5</x:v>
      </x:c>
    </x:row>
    <x:row r="106">
      <x:c r="A106" t="str">
        <x:v>折现因子</x:v>
      </x:c>
      <x:c r="C106" s="140" t="n">
        <x:f>1/(1+$B$110)^C105</x:f>
        <x:v>0.9680038658279579</x:v>
      </x:c>
      <x:c r="D106" s="140" t="n">
        <x:f>1/(1+$B$110)^D105</x:f>
        <x:v>0.9070500991641286</x:v>
      </x:c>
      <x:c r="E106" s="140" t="n">
        <x:f>1/(1+$B$110)^E105</x:f>
        <x:v>0.8499345007160125</x:v>
      </x:c>
      <x:c r="F106" s="140" t="n">
        <x:f>1/(1+$B$110)^F105</x:f>
        <x:v>0.7964153867278979</x:v>
      </x:c>
      <x:c r="G106" s="140" t="n">
        <x:f>1/(1+$B$110)^G105</x:f>
        <x:v>0.7462662919114487</x:v>
      </x:c>
    </x:row>
    <x:row r="107">
      <x:c r="A107" t="str">
        <x:v>折现后FCFF</x:v>
      </x:c>
      <x:c r="C107" s="132" t="n">
        <x:f>C104*C106</x:f>
        <x:v>81.1961642656491</x:v>
      </x:c>
      <x:c r="D107" s="132" t="n">
        <x:f>D104*D106</x:f>
        <x:v>107.05527731192169</x:v>
      </x:c>
      <x:c r="E107" s="132" t="n">
        <x:f>E104*E106</x:f>
        <x:v>132.92679678002668</x:v>
      </x:c>
      <x:c r="F107" s="132" t="n">
        <x:f>F104*F106</x:f>
        <x:v>155.60627466142236</x:v>
      </x:c>
      <x:c r="G107" s="132" t="n">
        <x:f>G104*G106</x:f>
        <x:v>166.9517439734518</x:v>
      </x:c>
    </x:row>
    <x:row r="109">
      <x:c r="A109" t="str">
        <x:v>显性期FCFF现值</x:v>
      </x:c>
      <x:c r="B109" s="132" t="n">
        <x:f>SUM(C107:G107)</x:f>
        <x:v>643.7362569924717</x:v>
      </x:c>
    </x:row>
    <x:row r="110">
      <x:c r="A110" t="str">
        <x:v>加权平均资本成本（WACC）</x:v>
      </x:c>
      <x:c r="B110" s="133" t="n">
        <x:f>'估值假设'!$B$22+'估值假设'!$D$72</x:f>
        <x:v>0.06720000000000001</x:v>
      </x:c>
    </x:row>
    <x:row r="111">
      <x:c r="A111" t="str">
        <x:v>永续增长率（g）</x:v>
      </x:c>
      <x:c r="B111" s="133" t="n">
        <x:f>'估值假设'!$D$73</x:f>
        <x:v>0.03</x:v>
      </x:c>
    </x:row>
    <x:row r="112">
      <x:c r="A112" t="str">
        <x:v>终值FCFF</x:v>
      </x:c>
      <x:c r="B112" s="132" t="n">
        <x:f>IF('估值假设'!$D$75="",G104,'估值假设'!$D$75)</x:f>
        <x:v>223.7160458444801</x:v>
      </x:c>
    </x:row>
    <x:row r="113">
      <x:c r="A113" t="str">
        <x:v>终值（TV）</x:v>
      </x:c>
      <x:c r="B113" s="132" t="n">
        <x:f>B112*(1+B111)/(B110-B111)</x:f>
        <x:v>6194.288366124045</x:v>
      </x:c>
    </x:row>
    <x:row r="114">
      <x:c r="A114" t="str">
        <x:v>终值现值</x:v>
      </x:c>
      <x:c r="B114" s="132" t="n">
        <x:f>B113/(1+B110)^'估值假设'!$D$74</x:f>
        <x:v>4474.683644629339</x:v>
      </x:c>
    </x:row>
    <x:row r="115">
      <x:c r="A115" t="str">
        <x:v>企业价值（EV）</x:v>
      </x:c>
      <x:c r="B115" s="132" t="n">
        <x:f>B109+B114</x:f>
        <x:v>5118.419901621811</x:v>
      </x:c>
    </x:row>
    <x:row r="116">
      <x:c r="A116" t="str">
        <x:v>普通股权益价值</x:v>
      </x:c>
      <x:c r="B116" s="132" t="n">
        <x:f>B115+'估值假设'!$G$15+'估值假设'!$G$16+'估值假设'!$G$17-SUM('估值假设'!$G$18:$G$23)</x:f>
        <x:v>5013.419901621811</x:v>
      </x:c>
    </x:row>
    <x:row r="117">
      <x:c r="A117" t="str">
        <x:v>完全稀释股份数</x:v>
      </x:c>
      <x:c r="B117" s="132" t="n">
        <x:f>'估值假设'!$G$24</x:f>
        <x:v>100</x:v>
      </x:c>
    </x:row>
    <x:row r="118">
      <x:c r="A118" t="str">
        <x:v>每股价值</x:v>
      </x:c>
      <x:c r="B118" s="141" t="n">
        <x:f>B116/B117</x:f>
        <x:v>50.134199016218105</x:v>
      </x:c>
    </x:row>
  </x:sheetData>
  <x:mergeCells>
    <x:mergeCell ref="A1:H1"/>
    <x:mergeCell ref="A12:H12"/>
    <x:mergeCell ref="A23:G23"/>
    <x:mergeCell ref="A56:G56"/>
    <x:mergeCell ref="A89:G89"/>
    <x:mergeCell ref="A19:H21"/>
  </x:mergeCells>
  <x:conditionalFormatting sqref="C5:G9">
    <x:cfRule type="colorScale" priority="1">
      <x:colorScale>
        <x:cfvo type="min"/>
        <x:cfvo type="percentile" val="50"/>
        <x:cfvo type="max"/>
        <x:color rgb="FFF8696B"/>
        <x:color rgb="FFFFEB84"/>
        <x:color rgb="FF63BE7B"/>
      </x:colorScale>
    </x:cfRule>
  </x:conditionalFormatting>
  <x:pageMargins left="0.7" right="0.7" top="0.75" bottom="0.75" header="0.3" footer="0.3"/>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6" hidden="0" customWidth="1"/>
    <x:col min="3" max="3" width="16" hidden="0" customWidth="1"/>
    <x:col min="4" max="4" width="16" hidden="0" customWidth="1"/>
    <x:col min="5" max="5" width="14" hidden="0" customWidth="1"/>
    <x:col min="6" max="6" width="18" hidden="0" customWidth="1"/>
    <x:col min="7" max="7" width="38" hidden="0" customWidth="1"/>
  </x:cols>
  <x:sheetData>
    <x:row r="1" ht="28" customHeight="1">
      <x:c r="A1" s="4" t="str">
        <x:v>模型检查</x:v>
      </x:c>
    </x:row>
    <x:row r="3">
      <x:c r="A3" t="str">
        <x:v>模型状态</x:v>
      </x:c>
      <x:c r="B3" s="49" t="str">
        <x:f>IF(COUNTIF(F6:F21,"错误")&gt;0,"FAIL",IF(COUNTIF(F6:F21,"未完成")&gt;0,"INCOMPLETE","PASS"))</x:f>
        <x:v>INCOMPLETE</x:v>
      </x:c>
      <x:c r="C3" s="49"/>
      <x:c r="D3" s="49"/>
      <x:c r="E3" s="49"/>
      <x:c r="F3" s="49"/>
    </x:row>
    <x:row r="4">
      <x:c r="A4" t="str">
        <x:v>外部交付审计状态</x:v>
      </x:c>
      <x:c r="B4" s="163" t="str">
        <x:v>INCOMPLETE</x:v>
      </x:c>
      <x:c r="C4" s="49"/>
      <x:c r="D4" s="49"/>
      <x:c r="E4" s="49"/>
      <x:c r="F4" s="49"/>
    </x:row>
    <x:row r="5">
      <x:c r="A5" s="46" t="str">
        <x:v>检查项目</x:v>
      </x:c>
      <x:c r="B5" s="51" t="str">
        <x:v>实际值</x:v>
      </x:c>
      <x:c r="C5" s="51" t="str">
        <x:v>预期值</x:v>
      </x:c>
      <x:c r="D5" s="51" t="str">
        <x:v>差异</x:v>
      </x:c>
      <x:c r="E5" s="51" t="str">
        <x:v>容差</x:v>
      </x:c>
      <x:c r="F5" s="51" t="str">
        <x:v>状态</x:v>
      </x:c>
      <x:c r="G5" s="47" t="str">
        <x:v>说明</x:v>
      </x:c>
    </x:row>
    <x:row r="6">
      <x:c r="A6" t="str">
        <x:v>2027E 企业自由现金流（FCFF）勾稽</x:v>
      </x:c>
      <x:c r="B6" s="166" t="n">
        <x:f>'经营预测'!E16</x:f>
        <x:v>89.52000000000002</x:v>
      </x:c>
      <x:c r="C6" s="166" t="n">
        <x:f>'经营预测'!E10+'经营预测'!E11-'经营预测'!E12-'经营预测'!E13+IF('经营预测'!E14="",0,'经营预测'!E14)-IF('经营预测'!E15="",0,'经营预测'!E15)</x:f>
        <x:v>89.52000000000002</x:v>
      </x:c>
      <x:c r="D6" s="166" t="n">
        <x:f>B6-C6</x:f>
        <x:v>0</x:v>
      </x:c>
      <x:c r="E6" s="166" t="n">
        <x:v>0.000001</x:v>
      </x:c>
      <x:c r="F6" s="49" t="str">
        <x:f>IF(ABS(D6)&lt;=E6,"通过","错误")</x:f>
        <x:v>通过</x:v>
      </x:c>
      <x:c r="G6" t="str">
        <x:v>FCFF各组成项勾稽</x:v>
      </x:c>
    </x:row>
    <x:row r="7">
      <x:c r="A7" t="str">
        <x:v>2028E 企业自由现金流（FCFF）勾稽</x:v>
      </x:c>
      <x:c r="B7" s="166" t="n">
        <x:f>'经营预测'!F16</x:f>
        <x:v>110.512</x:v>
      </x:c>
      <x:c r="C7" s="166" t="n">
        <x:f>'经营预测'!F10+'经营预测'!F11-'经营预测'!F12-'经营预测'!F13+IF('经营预测'!F14="",0,'经营预测'!F14)-IF('经营预测'!F15="",0,'经营预测'!F15)</x:f>
        <x:v>110.512</x:v>
      </x:c>
      <x:c r="D7" s="166" t="n">
        <x:f>B7-C7</x:f>
        <x:v>0</x:v>
      </x:c>
      <x:c r="E7" s="166" t="n">
        <x:v>0.000001</x:v>
      </x:c>
      <x:c r="F7" s="49" t="str">
        <x:f>IF(ABS(D7)&lt;=E7,"通过","错误")</x:f>
        <x:v>通过</x:v>
      </x:c>
      <x:c r="G7" t="str">
        <x:v>FCFF各组成项勾稽</x:v>
      </x:c>
    </x:row>
    <x:row r="8">
      <x:c r="A8" t="str">
        <x:v>2029E 企业自由现金流（FCFF）勾稽</x:v>
      </x:c>
      <x:c r="B8" s="166" t="n">
        <x:f>'经营预测'!G16</x:f>
        <x:v>134.02272000000005</x:v>
      </x:c>
      <x:c r="C8" s="166" t="n">
        <x:f>'经营预测'!G10+'经营预测'!G11-'经营预测'!G12-'经营预测'!G13+IF('经营预测'!G14="",0,'经营预测'!G14)-IF('经营预测'!G15="",0,'经营预测'!G15)</x:f>
        <x:v>134.02272000000005</x:v>
      </x:c>
      <x:c r="D8" s="166" t="n">
        <x:f>B8-C8</x:f>
        <x:v>0</x:v>
      </x:c>
      <x:c r="E8" s="166" t="n">
        <x:v>0.000001</x:v>
      </x:c>
      <x:c r="F8" s="49" t="str">
        <x:f>IF(ABS(D8)&lt;=E8,"通过","错误")</x:f>
        <x:v>通过</x:v>
      </x:c>
      <x:c r="G8" t="str">
        <x:v>FCFF各组成项勾稽</x:v>
      </x:c>
    </x:row>
    <x:row r="9">
      <x:c r="A9" t="str">
        <x:v>2030E 企业自由现金流（FCFF）勾稽</x:v>
      </x:c>
      <x:c r="B9" s="166" t="n">
        <x:f>'经营预测'!H16</x:f>
        <x:v>152.66345280000004</x:v>
      </x:c>
      <x:c r="C9" s="166" t="n">
        <x:f>'经营预测'!H10+'经营预测'!H11-'经营预测'!H12-'经营预测'!H13+IF('经营预测'!H14="",0,'经营预测'!H14)-IF('经营预测'!H15="",0,'经营预测'!H15)</x:f>
        <x:v>152.66345280000004</x:v>
      </x:c>
      <x:c r="D9" s="166" t="n">
        <x:f>B9-C9</x:f>
        <x:v>0</x:v>
      </x:c>
      <x:c r="E9" s="166" t="n">
        <x:v>0.000001</x:v>
      </x:c>
      <x:c r="F9" s="49" t="str">
        <x:f>IF(ABS(D9)&lt;=E9,"通过","错误")</x:f>
        <x:v>通过</x:v>
      </x:c>
      <x:c r="G9" t="str">
        <x:v>FCFF各组成项勾稽</x:v>
      </x:c>
    </x:row>
    <x:row r="10">
      <x:c r="A10" t="str">
        <x:v>2031E 企业自由现金流（FCFF）勾稽</x:v>
      </x:c>
      <x:c r="B10" s="166" t="n">
        <x:f>'经营预测'!I16</x:f>
        <x:v>165.96913696000007</x:v>
      </x:c>
      <x:c r="C10" s="166" t="n">
        <x:f>'经营预测'!I10+'经营预测'!I11-'经营预测'!I12-'经营预测'!I13+IF('经营预测'!I14="",0,'经营预测'!I14)-IF('经营预测'!I15="",0,'经营预测'!I15)</x:f>
        <x:v>165.96913696000007</x:v>
      </x:c>
      <x:c r="D10" s="166" t="n">
        <x:f>B10-C10</x:f>
        <x:v>0</x:v>
      </x:c>
      <x:c r="E10" s="166" t="n">
        <x:v>0.000001</x:v>
      </x:c>
      <x:c r="F10" s="49" t="str">
        <x:f>IF(ABS(D10)&lt;=E10,"通过","错误")</x:f>
        <x:v>通过</x:v>
      </x:c>
      <x:c r="G10" t="str">
        <x:v>FCFF各组成项勾稽</x:v>
      </x:c>
    </x:row>
    <x:row r="11">
      <x:c r="A11" t="str">
        <x:v>加权平均资本成本（WACC）与永续增长率安全垫</x:v>
      </x:c>
      <x:c r="B11" s="166" t="n">
        <x:f>'DCF估值'!B5-'DCF估值'!B6</x:f>
        <x:v>0.04720000000000001</x:v>
      </x:c>
      <x:c r="C11" s="166" t="n">
        <x:v>0.005</x:v>
      </x:c>
      <x:c r="D11" s="166" t="n">
        <x:f>B11-C11</x:f>
        <x:v>0.042200000000000015</x:v>
      </x:c>
      <x:c r="E11" s="166" t="n">
        <x:v>0</x:v>
      </x:c>
      <x:c r="F11" s="49" t="str">
        <x:f>IF(B11&gt;=C11,"通过","警告")</x:f>
        <x:v>通过</x:v>
      </x:c>
      <x:c r="G11" t="str">
        <x:v>至少保留50个基点（bps）</x:v>
      </x:c>
    </x:row>
    <x:row r="12">
      <x:c r="A12" t="str">
        <x:v>终值（TV）占企业价值比例</x:v>
      </x:c>
      <x:c r="B12" s="166" t="n">
        <x:f>'DCF估值'!B19</x:f>
        <x:v>0.825015631917114</x:v>
      </x:c>
      <x:c r="C12" s="166" t="n">
        <x:v>0.75</x:v>
      </x:c>
      <x:c r="D12" s="166" t="n">
        <x:f>B12-C12</x:f>
        <x:v>0.07501563191711402</x:v>
      </x:c>
      <x:c r="E12" s="166" t="n">
        <x:v>0</x:v>
      </x:c>
      <x:c r="F12" s="49" t="str">
        <x:f>IF(B12&lt;=C12,"通过","警告")</x:f>
        <x:v>警告</x:v>
      </x:c>
      <x:c r="G12" t="str">
        <x:v>占比较高时估值对长期假设更敏感</x:v>
      </x:c>
    </x:row>
    <x:row r="13">
      <x:c r="A13" t="str">
        <x:v>完全稀释股份数</x:v>
      </x:c>
      <x:c r="B13" s="166" t="n">
        <x:f>'估值假设'!G24</x:f>
        <x:v>100</x:v>
      </x:c>
      <x:c r="C13" s="166" t="n">
        <x:v>0</x:v>
      </x:c>
      <x:c r="D13" s="166" t="n">
        <x:f>B13-C13</x:f>
        <x:v>100</x:v>
      </x:c>
      <x:c r="E13" s="166" t="n">
        <x:v>0</x:v>
      </x:c>
      <x:c r="F13" s="49" t="str">
        <x:f>IF(B13&gt;0,"通过","错误")</x:f>
        <x:v>通过</x:v>
      </x:c>
      <x:c r="G13" t="str">
        <x:v>必须大于零</x:v>
      </x:c>
    </x:row>
    <x:row r="14">
      <x:c r="A14" t="str">
        <x:v>敏感性方向</x:v>
      </x:c>
      <x:c r="B14" s="166" t="n">
        <x:f>'敏感性分析'!C7-'敏感性分析'!G7</x:f>
        <x:v>32.74357885266254</x:v>
      </x:c>
      <x:c r="C14" s="166" t="n">
        <x:v>0</x:v>
      </x:c>
      <x:c r="D14" s="166" t="n">
        <x:f>B14-C14</x:f>
        <x:v>32.74357885266254</x:v>
      </x:c>
      <x:c r="E14" s="166" t="n">
        <x:v>0</x:v>
      </x:c>
      <x:c r="F14" s="49" t="str">
        <x:f>IF(B14&gt;0,"通过","错误")</x:f>
        <x:v>通过</x:v>
      </x:c>
      <x:c r="G14" t="str">
        <x:v>其他条件不变时，价值应随WACC上升而下降</x:v>
      </x:c>
    </x:row>
    <x:row r="15">
      <x:c r="A15" t="str">
        <x:v>公司行动检索覆盖</x:v>
      </x:c>
      <x:c r="B15" s="166" t="str">
        <x:f>'股本与市值桥'!B7</x:f>
        <x:v>未完成</x:v>
      </x:c>
      <x:c r="C15" s="166" t="str">
        <x:v>已完成</x:v>
      </x:c>
      <x:c r="D15" s="166" t="n">
        <x:f>IF(B15=C15,0,1)</x:f>
        <x:v>1</x:v>
      </x:c>
      <x:c r="E15" s="166" t="n">
        <x:v>0</x:v>
      </x:c>
      <x:c r="F15" s="49" t="str">
        <x:f>IF(B15=C15,"通过","未完成")</x:f>
        <x:v>未完成</x:v>
      </x:c>
      <x:c r="G15" t="str">
        <x:v>必须从最近可靠股本日至估值日检索全部股本变动公告</x:v>
      </x:c>
    </x:row>
    <x:row r="16">
      <x:c r="A16" t="str">
        <x:v>股价与股数口径</x:v>
      </x:c>
      <x:c r="B16" s="166" t="str">
        <x:f>'股本与市值桥'!B8</x:f>
        <x:v>未完成</x:v>
      </x:c>
      <x:c r="C16" s="166" t="str">
        <x:v>已确认</x:v>
      </x:c>
      <x:c r="D16" s="166" t="n">
        <x:f>IF(B16=C16,0,1)</x:f>
        <x:v>1</x:v>
      </x:c>
      <x:c r="E16" s="166" t="n">
        <x:v>0</x:v>
      </x:c>
      <x:c r="F16" s="49" t="str">
        <x:f>IF(B16=C16,"通过","未完成")</x:f>
        <x:v>未完成</x:v>
      </x:c>
      <x:c r="G16" t="str">
        <x:v>使用不复权近端收盘价，且价格日后无未处理的已生效公司行动</x:v>
      </x:c>
    </x:row>
    <x:row r="17">
      <x:c r="A17" t="str">
        <x:v>分证券股数日期</x:v>
      </x:c>
      <x:c r="B17" s="166" t="n">
        <x:f>COUNTIF('股本与市值桥'!D13:D15,'估值假设'!B6)</x:f>
        <x:v>1</x:v>
      </x:c>
      <x:c r="C17" s="166" t="n">
        <x:f>COUNT('股本与市值桥'!C13:C15)</x:f>
        <x:v>1</x:v>
      </x:c>
      <x:c r="D17" s="166" t="n">
        <x:f>B17-C17</x:f>
        <x:v>0</x:v>
      </x:c>
      <x:c r="E17" s="166" t="n">
        <x:v>0</x:v>
      </x:c>
      <x:c r="F17" s="49" t="str">
        <x:f>IF(AND(B17=C17,C17&gt;0),"通过","错误")</x:f>
        <x:v>通过</x:v>
      </x:c>
      <x:c r="G17" t="str">
        <x:v>每个分证券股数日必须等于估值基准日</x:v>
      </x:c>
    </x:row>
    <x:row r="18">
      <x:c r="A18" t="str">
        <x:v>分证券股数合计</x:v>
      </x:c>
      <x:c r="B18" s="166" t="n">
        <x:f>'股本与市值桥'!C16</x:f>
        <x:v>100</x:v>
      </x:c>
      <x:c r="C18" s="166" t="n">
        <x:f>'股本与市值桥'!B9</x:f>
        <x:v>100</x:v>
      </x:c>
      <x:c r="D18" s="166" t="n">
        <x:f>B18-C18</x:f>
        <x:v>0</x:v>
      </x:c>
      <x:c r="E18" s="166" t="n">
        <x:v>0.000001</x:v>
      </x:c>
      <x:c r="F18" s="49" t="str">
        <x:f>IF(ABS(D18)&lt;=E18,"通过","错误")</x:f>
        <x:v>通过</x:v>
      </x:c>
      <x:c r="G18" t="str">
        <x:v>分证券股数合计必须等于完全稀释股份数目标</x:v>
      </x:c>
    </x:row>
    <x:row r="19">
      <x:c r="A19" t="str">
        <x:v>公司行动股数滚存</x:v>
      </x:c>
      <x:c r="B19" s="166" t="n">
        <x:f>'股本与市值桥'!G20</x:f>
        <x:v>100</x:v>
      </x:c>
      <x:c r="C19" s="166" t="n">
        <x:f>'股本与市值桥'!E20+'股本与市值桥'!F20</x:f>
        <x:v>100</x:v>
      </x:c>
      <x:c r="D19" s="166" t="n">
        <x:f>B19-C19</x:f>
        <x:v>0</x:v>
      </x:c>
      <x:c r="E19" s="166" t="n">
        <x:v>0.000001</x:v>
      </x:c>
      <x:c r="F19" s="49" t="str">
        <x:f>IF(ABS(D19)&lt;=E19,"通过","错误")</x:f>
        <x:v>通过</x:v>
      </x:c>
      <x:c r="G19" t="str">
        <x:v>变动前股数加变动股数必须等于变动后股数</x:v>
      </x:c>
    </x:row>
    <x:row r="20">
      <x:c r="A20" t="str">
        <x:v>独立市值反向校验</x:v>
      </x:c>
      <x:c r="B20" s="166" t="n">
        <x:f>MAX(ABS('股本与市值桥'!K13),ABS('股本与市值桥'!K14),ABS('股本与市值桥'!K15))</x:f>
        <x:v>0</x:v>
      </x:c>
      <x:c r="C20" s="166" t="n">
        <x:v>0</x:v>
      </x:c>
      <x:c r="D20" s="166" t="n">
        <x:f>B20-C20</x:f>
        <x:v>0</x:v>
      </x:c>
      <x:c r="E20" s="166" t="n">
        <x:v>0.02</x:v>
      </x:c>
      <x:c r="F20" s="49" t="str">
        <x:f>IF(B20&lt;=E20,"通过","错误")</x:f>
        <x:v>通过</x:v>
      </x:c>
      <x:c r="G20" t="str">
        <x:v>股价×估值日股数×汇率与同日独立市值差异不得超过2%</x:v>
      </x:c>
    </x:row>
    <x:row r="21">
      <x:c r="A21" t="str">
        <x:v>来源台账完整性</x:v>
      </x:c>
      <x:c r="B21" s="166" t="n">
        <x:f>COUNTA('数据来源'!$H$4:$H$30)</x:f>
        <x:v>2</x:v>
      </x:c>
      <x:c r="C21" s="166" t="n">
        <x:f>COUNTA('数据来源'!$A$4:$A$30)</x:f>
        <x:v>2</x:v>
      </x:c>
      <x:c r="D21" s="166" t="n">
        <x:f>B21-C21</x:f>
        <x:v>0</x:v>
      </x:c>
      <x:c r="E21" s="166" t="n">
        <x:v>0</x:v>
      </x:c>
      <x:c r="F21" s="49" t="str">
        <x:f>IF(AND(B21=C21,C21&gt;0),"通过","未完成")</x:f>
        <x:v>通过</x:v>
      </x:c>
      <x:c r="G21" t="str">
        <x:v>每个来源编号必须对应可核验网址或文件；缺失标记由输入校验器拦截</x:v>
      </x:c>
    </x:row>
    <x:row r="22">
      <x:c r="A22" t="str">
        <x:v>外部交付审计</x:v>
      </x:c>
      <x:c r="B22" s="166" t="str">
        <x:f>$B$4</x:f>
        <x:v>INCOMPLETE</x:v>
      </x:c>
      <x:c r="C22" s="166" t="str">
        <x:v>PASS</x:v>
      </x:c>
      <x:c r="D22" s="166" t="n">
        <x:f>IF(B22=C22,0,1)</x:f>
        <x:v>1</x:v>
      </x:c>
      <x:c r="E22" s="166" t="n">
        <x:v>0</x:v>
      </x:c>
      <x:c r="F22" s="49" t="str">
        <x:f>IF(B22=C22,"通过","未完成")</x:f>
        <x:v>未完成</x:v>
      </x:c>
      <x:c r="G22" t="str">
        <x:v>公式、来源、跨产物一致性和视觉检查全部完成后才可设为PASS</x:v>
      </x:c>
    </x:row>
  </x:sheetData>
  <x:mergeCells>
    <x:mergeCell ref="A1:G1"/>
  </x:mergeCells>
  <x:conditionalFormatting sqref="F6:F22">
    <x:cfRule type="containsText" dxfId="3" priority="1" operator="containsText" text="通过"/>
    <x:cfRule type="containsText" dxfId="4" priority="2" operator="containsText" text="警告"/>
    <x:cfRule type="containsText" dxfId="5" priority="3" operator="containsText" text="未完成"/>
    <x:cfRule type="containsText" dxfId="6" priority="4" operator="containsText" text="错误"/>
  </x:conditionalFormatting>
  <x:conditionalFormatting sqref="B3:B3">
    <x:cfRule type="containsText" dxfId="7" priority="5" operator="containsText" text="PASS"/>
    <x:cfRule type="containsText" dxfId="8" priority="6" operator="containsText" text="INCOMPLETE"/>
    <x:cfRule type="containsText" dxfId="9" priority="7" operator="containsText" text="FAIL"/>
  </x:conditionalFormatting>
  <x:pageMargins left="0.7" right="0.7" top="0.75" bottom="0.75" header="0.3" footer="0.3"/>
</x:worksheet>
</file>

<file path=xl/worksheets/sheet10.xml><?xml version="1.0" encoding="utf-8"?>
<x:worksheet xmlns:x="http://schemas.openxmlformats.org/spreadsheetml/2006/main">
  <x:sheetViews>
    <x:sheetView showGridLines="0" workbookViewId="0"/>
  </x:sheetViews>
  <x:sheetFormatPr defaultRowHeight="15"/>
  <x:cols>
    <x:col min="1" max="1" width="26" hidden="0" customWidth="1"/>
    <x:col min="2" max="2" width="42" hidden="0" customWidth="1"/>
    <x:col min="3" max="3" width="60" hidden="0" customWidth="1"/>
    <x:col min="4" max="4" width="26" hidden="0" customWidth="1"/>
  </x:cols>
  <x:sheetData>
    <x:row r="1" ht="28" customHeight="1">
      <x:c r="A1" s="4" t="str">
        <x:v>DCF估值金融术语说明</x:v>
      </x:c>
    </x:row>
    <x:row r="3">
      <x:c r="A3" s="46" t="str">
        <x:v>中文全称</x:v>
      </x:c>
      <x:c r="B3" s="51" t="str">
        <x:v>英文全称/缩写</x:v>
      </x:c>
      <x:c r="C3" s="51" t="str">
        <x:v>简明解释</x:v>
      </x:c>
      <x:c r="D3" s="47" t="str">
        <x:v>模型中的主要位置</x:v>
      </x:c>
    </x:row>
    <x:row r="4" ht="32" customHeight="1">
      <x:c r="A4" s="167" t="str">
        <x:v>现金流折现</x:v>
      </x:c>
      <x:c r="B4" s="168" t="str">
        <x:v>Discounted Cash Flow（DCF）</x:v>
      </x:c>
      <x:c r="C4" s="168" t="str">
        <x:v>把未来现金流按资本成本折算为当前价值。</x:v>
      </x:c>
      <x:c r="D4" s="169" t="str">
        <x:v>DCF估值</x:v>
      </x:c>
    </x:row>
    <x:row r="5" ht="32" customHeight="1">
      <x:c r="A5" s="170" t="str">
        <x:v>企业自由现金流</x:v>
      </x:c>
      <x:c r="B5" s="171" t="str">
        <x:v>Free Cash Flow to Firm（FCFF）</x:v>
      </x:c>
      <x:c r="C5" s="171" t="str">
        <x:v>向债权人和股东分配资金前，经营资产可提供给全部资本提供者的现金流。</x:v>
      </x:c>
      <x:c r="D5" s="172" t="str">
        <x:v>经营预测、DCF估值</x:v>
      </x:c>
    </x:row>
    <x:row r="6" ht="32" customHeight="1">
      <x:c r="A6" s="170" t="str">
        <x:v>息税前利润</x:v>
      </x:c>
      <x:c r="B6" s="171" t="str">
        <x:v>Earnings Before Interest and Taxes（EBIT）</x:v>
      </x:c>
      <x:c r="C6" s="171" t="str">
        <x:v>扣除利息和所得税前的经营利润，用于隔离融资结构影响。</x:v>
      </x:c>
      <x:c r="D6" s="172" t="str">
        <x:v>经营预测</x:v>
      </x:c>
    </x:row>
    <x:row r="7" ht="32" customHeight="1">
      <x:c r="A7" s="170" t="str">
        <x:v>税后经营利润</x:v>
      </x:c>
      <x:c r="B7" s="171" t="str">
        <x:v>Net Operating Profit After Tax（NOPAT）</x:v>
      </x:c>
      <x:c r="C7" s="171" t="str">
        <x:v>不考虑融资结构时，经营利润扣除经营相关税负后的利润。</x:v>
      </x:c>
      <x:c r="D7" s="172" t="str">
        <x:v>经营预测</x:v>
      </x:c>
    </x:row>
    <x:row r="8" ht="32" customHeight="1">
      <x:c r="A8" s="170" t="str">
        <x:v>折旧与摊销</x:v>
      </x:c>
      <x:c r="B8" s="171" t="str">
        <x:v>Depreciation and Amortization（D&amp;A）</x:v>
      </x:c>
      <x:c r="C8" s="171" t="str">
        <x:v>对长期资产成本的会计分摊，通常作为非现金费用加回。</x:v>
      </x:c>
      <x:c r="D8" s="172" t="str">
        <x:v>估值假设、经营预测</x:v>
      </x:c>
    </x:row>
    <x:row r="9" ht="32" customHeight="1">
      <x:c r="A9" s="170" t="str">
        <x:v>资本性支出</x:v>
      </x:c>
      <x:c r="B9" s="171" t="str">
        <x:v>Capital Expenditures（Capex）</x:v>
      </x:c>
      <x:c r="C9" s="171" t="str">
        <x:v>用于取得或维护长期经营资产的现金投入。</x:v>
      </x:c>
      <x:c r="D9" s="172" t="str">
        <x:v>估值假设、经营预测</x:v>
      </x:c>
    </x:row>
    <x:row r="10" ht="32" customHeight="1">
      <x:c r="A10" s="170" t="str">
        <x:v>经营性净营运资本增加</x:v>
      </x:c>
      <x:c r="B10" s="171" t="str">
        <x:v>Change in Net Working Capital（ΔNWC）</x:v>
      </x:c>
      <x:c r="C10" s="171" t="str">
        <x:v>经营性流动资产减经营性流动负债的增加额；增加通常占用现金。</x:v>
      </x:c>
      <x:c r="D10" s="172" t="str">
        <x:v>估值假设、经营预测</x:v>
      </x:c>
    </x:row>
    <x:row r="11" ht="32" customHeight="1">
      <x:c r="A11" s="170" t="str">
        <x:v>加权平均资本成本</x:v>
      </x:c>
      <x:c r="B11" s="171" t="str">
        <x:v>Weighted Average Cost of Capital（WACC）</x:v>
      </x:c>
      <x:c r="C11" s="171" t="str">
        <x:v>股权和债务资金要求回报率按目标资本结构加权后的折现率。</x:v>
      </x:c>
      <x:c r="D11" s="172" t="str">
        <x:v>估值假设、DCF估值</x:v>
      </x:c>
    </x:row>
    <x:row r="12" ht="32" customHeight="1">
      <x:c r="A12" s="170" t="str">
        <x:v>无风险利率</x:v>
      </x:c>
      <x:c r="B12" s="171" t="str">
        <x:v>Risk-free Rate（Rf）</x:v>
      </x:c>
      <x:c r="C12" s="171" t="str">
        <x:v>与现金流币种和期限匹配、近似无违约风险的基准收益率。</x:v>
      </x:c>
      <x:c r="D12" s="172" t="str">
        <x:v>估值假设</x:v>
      </x:c>
    </x:row>
    <x:row r="13" ht="32" customHeight="1">
      <x:c r="A13" s="170" t="str">
        <x:v>贝塔系数</x:v>
      </x:c>
      <x:c r="B13" s="171" t="str">
        <x:v>Beta</x:v>
      </x:c>
      <x:c r="C13" s="171" t="str">
        <x:v>股票或业务系统性风险相对市场的敏感度。</x:v>
      </x:c>
      <x:c r="D13" s="172" t="str">
        <x:v>估值假设</x:v>
      </x:c>
    </x:row>
    <x:row r="14" ht="32" customHeight="1">
      <x:c r="A14" s="170" t="str">
        <x:v>股权风险溢价</x:v>
      </x:c>
      <x:c r="B14" s="171" t="str">
        <x:v>Equity Risk Premium（ERP）</x:v>
      </x:c>
      <x:c r="C14" s="171" t="str">
        <x:v>投资股票相对无风险资产要求的额外回报。</x:v>
      </x:c>
      <x:c r="D14" s="172" t="str">
        <x:v>估值假设</x:v>
      </x:c>
    </x:row>
    <x:row r="15" ht="32" customHeight="1">
      <x:c r="A15" s="170" t="str">
        <x:v>国家风险溢价</x:v>
      </x:c>
      <x:c r="B15" s="171" t="str">
        <x:v>Country Risk Premium（CRP）</x:v>
      </x:c>
      <x:c r="C15" s="171" t="str">
        <x:v>对特定国家主权、制度或市场风险要求的额外回报。</x:v>
      </x:c>
      <x:c r="D15" s="172" t="str">
        <x:v>估值假设</x:v>
      </x:c>
    </x:row>
    <x:row r="16" ht="32" customHeight="1">
      <x:c r="A16" s="170" t="str">
        <x:v>终值</x:v>
      </x:c>
      <x:c r="B16" s="171" t="str">
        <x:v>Terminal Value（TV）</x:v>
      </x:c>
      <x:c r="C16" s="171" t="str">
        <x:v>显性预测期结束后全部后续现金流在预测期末的价值。</x:v>
      </x:c>
      <x:c r="D16" s="172" t="str">
        <x:v>DCF估值</x:v>
      </x:c>
    </x:row>
    <x:row r="17" ht="32" customHeight="1">
      <x:c r="A17" s="170" t="str">
        <x:v>永续增长率</x:v>
      </x:c>
      <x:c r="B17" s="171" t="str">
        <x:v>Perpetual Growth Rate（g）</x:v>
      </x:c>
      <x:c r="C17" s="171" t="str">
        <x:v>公司进入稳态后现金流长期持续增长的名义速率。</x:v>
      </x:c>
      <x:c r="D17" s="172" t="str">
        <x:v>估值假设、敏感性分析</x:v>
      </x:c>
    </x:row>
    <x:row r="18" ht="32" customHeight="1">
      <x:c r="A18" s="170" t="str">
        <x:v>戈登永续增长法</x:v>
      </x:c>
      <x:c r="B18" s="171" t="str">
        <x:v>Gordon Growth Method</x:v>
      </x:c>
      <x:c r="C18" s="171" t="str">
        <x:v>用下一期稳态现金流除以WACC与永续增长率之差估算终值。</x:v>
      </x:c>
      <x:c r="D18" s="172" t="str">
        <x:v>DCF估值</x:v>
      </x:c>
    </x:row>
    <x:row r="19" ht="32" customHeight="1">
      <x:c r="A19" s="170" t="str">
        <x:v>现值</x:v>
      </x:c>
      <x:c r="B19" s="171" t="str">
        <x:v>Present Value（PV）</x:v>
      </x:c>
      <x:c r="C19" s="171" t="str">
        <x:v>未来金额按折现率换算到估值基准日后的价值。</x:v>
      </x:c>
      <x:c r="D19" s="172" t="str">
        <x:v>DCF估值</x:v>
      </x:c>
    </x:row>
    <x:row r="20" ht="32" customHeight="1">
      <x:c r="A20" s="170" t="str">
        <x:v>企业价值</x:v>
      </x:c>
      <x:c r="B20" s="171" t="str">
        <x:v>Enterprise Value（EV）</x:v>
      </x:c>
      <x:c r="C20" s="171" t="str">
        <x:v>经营资产对债权人、股东等全部资本提供者的价值。</x:v>
      </x:c>
      <x:c r="D20" s="172" t="str">
        <x:v>DCF估值</x:v>
      </x:c>
    </x:row>
    <x:row r="21" ht="32" customHeight="1">
      <x:c r="A21" s="170" t="str">
        <x:v>投入资本回报率</x:v>
      </x:c>
      <x:c r="B21" s="171" t="str">
        <x:v>Return on Invested Capital（ROIC）</x:v>
      </x:c>
      <x:c r="C21" s="171" t="str">
        <x:v>税后经营利润相对经营投入资本的回报水平。</x:v>
      </x:c>
      <x:c r="D21" s="172" t="str">
        <x:v>稳态检查</x:v>
      </x:c>
    </x:row>
    <x:row r="22" ht="32" customHeight="1">
      <x:c r="A22" s="170" t="str">
        <x:v>年中折现约定</x:v>
      </x:c>
      <x:c r="B22" s="171" t="str">
        <x:v>Mid-year Convention</x:v>
      </x:c>
      <x:c r="C22" s="171" t="str">
        <x:v>假设年度现金流在年内均匀产生，并在年度中点折现。</x:v>
      </x:c>
      <x:c r="D22" s="172" t="str">
        <x:v>DCF估值</x:v>
      </x:c>
    </x:row>
    <x:row r="23" ht="32" customHeight="1">
      <x:c r="A23" s="170" t="str">
        <x:v>基点</x:v>
      </x:c>
      <x:c r="B23" s="171" t="str">
        <x:v>Basis Point（bps）</x:v>
      </x:c>
      <x:c r="C23" s="171" t="str">
        <x:v>利率的万分之一；100个基点等于1个百分点。</x:v>
      </x:c>
      <x:c r="D23" s="172" t="str">
        <x:v>模型检查</x:v>
      </x:c>
    </x:row>
    <x:row r="24" ht="32" customHeight="1">
      <x:c r="A24" s="170" t="str">
        <x:v>预测值标识</x:v>
      </x:c>
      <x:c r="B24" s="171" t="str">
        <x:v>Estimate（E）</x:v>
      </x:c>
      <x:c r="C24" s="171" t="str">
        <x:v>年份后的E表示该期间为模型预测值，而非公司已报告的历史值。</x:v>
      </x:c>
      <x:c r="D24" s="172" t="str">
        <x:v>经营预测、敏感性分析</x:v>
      </x:c>
    </x:row>
    <x:row r="25" ht="32" customHeight="1">
      <x:c r="A25" s="170" t="str">
        <x:v>报告值标签</x:v>
      </x:c>
      <x:c r="B25" s="171" t="str">
        <x:v>Reported（R）</x:v>
      </x:c>
      <x:c r="C25" s="171" t="str">
        <x:v>公司或监管文件直接披露、未经模型改写的数据。</x:v>
      </x:c>
      <x:c r="D25" s="172" t="str">
        <x:v>数据来源、来源台账</x:v>
      </x:c>
    </x:row>
    <x:row r="26" ht="32" customHeight="1">
      <x:c r="A26" s="170" t="str">
        <x:v>调整值标签</x:v>
      </x:c>
      <x:c r="B26" s="171" t="str">
        <x:v>Adjusted（A）</x:v>
      </x:c>
      <x:c r="C26" s="171" t="str">
        <x:v>在报告值基础上按明确规则进行口径统一或一次性项目调整后的数据。</x:v>
      </x:c>
      <x:c r="D26" s="172" t="str">
        <x:v>数据来源、来源台账</x:v>
      </x:c>
    </x:row>
    <x:row r="27" ht="32" customHeight="1">
      <x:c r="A27" s="170" t="str">
        <x:v>假设值标签</x:v>
      </x:c>
      <x:c r="B27" s="171" t="str">
        <x:v>House / Hypothesis（H）</x:v>
      </x:c>
      <x:c r="C27" s="171" t="str">
        <x:v>模型自主设定的预测或估值假设，必须写明依据。</x:v>
      </x:c>
      <x:c r="D27" s="172" t="str">
        <x:v>数据来源、来源台账</x:v>
      </x:c>
    </x:row>
    <x:row r="28" ht="32" customHeight="1">
      <x:c r="A28" s="170" t="str">
        <x:v>历史实际值标识</x:v>
      </x:c>
      <x:c r="B28" s="171" t="str">
        <x:v>Actual（A）</x:v>
      </x:c>
      <x:c r="C28" s="171" t="str">
        <x:v>年份后的A表示公司已经报告的历史实际值；不要与方括号中的调整值标签[A]混淆。</x:v>
      </x:c>
      <x:c r="D28" s="172" t="str">
        <x:v>经营预测</x:v>
      </x:c>
    </x:row>
    <x:row r="29" ht="32" customHeight="1">
      <x:c r="A29" s="170" t="str">
        <x:v>数据缺失</x:v>
      </x:c>
      <x:c r="B29" s="171" t="str">
        <x:v>Not Available（NA）</x:v>
      </x:c>
      <x:c r="C29" s="171" t="str">
        <x:v>该字段当前没有可获得或可核验的数据；不得用零代替。</x:v>
      </x:c>
      <x:c r="D29" s="172" t="str">
        <x:v>数据来源、报告</x:v>
      </x:c>
    </x:row>
    <x:row r="30" ht="32" customHeight="1">
      <x:c r="A30" s="170" t="str">
        <x:v>不复权收盘价</x:v>
      </x:c>
      <x:c r="B30" s="171" t="str">
        <x:v>Unadjusted Close</x:v>
      </x:c>
      <x:c r="C30" s="171" t="str">
        <x:v>未对送股、拆股或分红进行历史回溯调整的实际收盘价；用于与当日股数相乘计算市值。</x:v>
      </x:c>
      <x:c r="D30" s="172" t="str">
        <x:v>股本与市值桥</x:v>
      </x:c>
    </x:row>
    <x:row r="31" ht="32" customHeight="1">
      <x:c r="A31" s="173" t="str">
        <x:v>市值反向校验</x:v>
      </x:c>
      <x:c r="B31" s="174" t="str">
        <x:v>Market Capitalization Cross-check</x:v>
      </x:c>
      <x:c r="C31" s="174" t="str">
        <x:v>以股价乘估值日股数计算的市值，与同日独立市值来源比较以发现股数、复权或日期错配。</x:v>
      </x:c>
      <x:c r="D31" s="175" t="str">
        <x:v>股本与市值桥、模型检查</x:v>
      </x:c>
    </x:row>
  </x:sheetData>
  <x:mergeCells>
    <x:mergeCell ref="A1:D1"/>
  </x:mergeCells>
  <x:pageMargins left="0.7" right="0.7" top="0.75" bottom="0.75" header="0.3" footer="0.3"/>
</x:worksheet>
</file>