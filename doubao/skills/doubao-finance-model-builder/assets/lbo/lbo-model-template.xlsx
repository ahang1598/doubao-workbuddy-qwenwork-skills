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交易摘要" sheetId="2" state="visible" r:id="rId2"/>
    <sheet xmlns:r="http://schemas.openxmlformats.org/officeDocument/2006/relationships" name="交易与融资假设" sheetId="3" state="visible" r:id="rId3"/>
    <sheet xmlns:r="http://schemas.openxmlformats.org/officeDocument/2006/relationships" name="Sources &amp; Uses" sheetId="4" state="visible" r:id="rId4"/>
    <sheet xmlns:r="http://schemas.openxmlformats.org/officeDocument/2006/relationships" name="债务假设" sheetId="5" state="visible" r:id="rId5"/>
    <sheet xmlns:r="http://schemas.openxmlformats.org/officeDocument/2006/relationships" name="经营预测" sheetId="6" state="visible" r:id="rId6"/>
    <sheet xmlns:r="http://schemas.openxmlformats.org/officeDocument/2006/relationships" name="分层债务" sheetId="7" state="visible" r:id="rId7"/>
    <sheet xmlns:r="http://schemas.openxmlformats.org/officeDocument/2006/relationships" name="现金与利息" sheetId="8" state="visible" r:id="rId8"/>
    <sheet xmlns:r="http://schemas.openxmlformats.org/officeDocument/2006/relationships" name="退出回报" sheetId="9" state="visible" r:id="rId9"/>
    <sheet xmlns:r="http://schemas.openxmlformats.org/officeDocument/2006/relationships" name="投资人现金流" sheetId="10" state="visible" r:id="rId10"/>
    <sheet xmlns:r="http://schemas.openxmlformats.org/officeDocument/2006/relationships" name="回报归因" sheetId="11" state="visible" r:id="rId11"/>
    <sheet xmlns:r="http://schemas.openxmlformats.org/officeDocument/2006/relationships" name="情景与敏感性" sheetId="12" state="visible" r:id="rId12"/>
    <sheet xmlns:r="http://schemas.openxmlformats.org/officeDocument/2006/relationships" name="目标回报反推" sheetId="13" state="visible" r:id="rId13"/>
    <sheet xmlns:r="http://schemas.openxmlformats.org/officeDocument/2006/relationships" name="假设依据" sheetId="14" state="visible" r:id="rId14"/>
    <sheet xmlns:r="http://schemas.openxmlformats.org/officeDocument/2006/relationships" name="历史数据与口径" sheetId="15" state="visible" r:id="rId15"/>
    <sheet xmlns:r="http://schemas.openxmlformats.org/officeDocument/2006/relationships" name="风险与失效条件" sheetId="16" state="visible" r:id="rId16"/>
    <sheet xmlns:r="http://schemas.openxmlformats.org/officeDocument/2006/relationships" name="数据来源" sheetId="17" state="visible" r:id="rId17"/>
    <sheet xmlns:r="http://schemas.openxmlformats.org/officeDocument/2006/relationships" name="模型检查" sheetId="18" state="visible" r:id="rId18"/>
  </sheets>
  <definedNames>
    <definedName name="_xlnm.Print_Area" localSheetId="0">'封面'!$A$1:$F$4</definedName>
    <definedName name="_xlnm._FilterDatabase" localSheetId="1" hidden="1">'交易摘要'!$A$1:$D$14</definedName>
    <definedName name="_xlnm.Print_Area" localSheetId="1">'交易摘要'!$A$1:$D$14</definedName>
    <definedName name="_xlnm._FilterDatabase" localSheetId="2" hidden="1">'交易与融资假设'!$A$1:$D$18</definedName>
    <definedName name="_xlnm.Print_Area" localSheetId="2">'交易与融资假设'!$A$1:$D$18</definedName>
    <definedName name="_xlnm._FilterDatabase" localSheetId="3" hidden="1">'Sources &amp; Uses'!$A$1:$D$10</definedName>
    <definedName name="_xlnm.Print_Area" localSheetId="3">'Sources &amp; Uses'!$A$1:$D$10</definedName>
    <definedName name="_xlnm._FilterDatabase" localSheetId="4" hidden="1">'债务假设'!$A$1:$J$3</definedName>
    <definedName name="_xlnm.Print_Area" localSheetId="4">'债务假设'!$A$1:$J$3</definedName>
    <definedName name="_xlnm._FilterDatabase" localSheetId="5" hidden="1">'经营预测'!$A$1:$J$8</definedName>
    <definedName name="_xlnm.Print_Area" localSheetId="5">'经营预测'!$A$1:$J$8</definedName>
    <definedName name="_xlnm._FilterDatabase" localSheetId="6" hidden="1">'分层债务'!$A$1:$I$15</definedName>
    <definedName name="_xlnm.Print_Area" localSheetId="6">'分层债务'!$A$1:$I$15</definedName>
    <definedName name="_xlnm._FilterDatabase" localSheetId="7" hidden="1">'现金与利息'!$A$1:$N$8</definedName>
    <definedName name="_xlnm.Print_Area" localSheetId="7">'现金与利息'!$A$1:$N$8</definedName>
    <definedName name="_xlnm._FilterDatabase" localSheetId="8" hidden="1">'退出回报'!$A$1:$P$16</definedName>
    <definedName name="_xlnm.Print_Area" localSheetId="8">'退出回报'!$A$1:$P$16</definedName>
    <definedName name="_xlnm._FilterDatabase" localSheetId="9" hidden="1">'投资人现金流'!$A$1:$J$31</definedName>
    <definedName name="_xlnm.Print_Area" localSheetId="9">'投资人现金流'!$A$1:$J$31</definedName>
    <definedName name="_xlnm._FilterDatabase" localSheetId="10" hidden="1">'回报归因'!$A$1:$K$16</definedName>
    <definedName name="_xlnm.Print_Area" localSheetId="10">'回报归因'!$A$1:$K$16</definedName>
    <definedName name="_xlnm._FilterDatabase" localSheetId="11" hidden="1">'情景与敏感性'!$A$1:$F$8</definedName>
    <definedName name="_xlnm.Print_Area" localSheetId="11">'情景与敏感性'!$A$1:$F$8</definedName>
    <definedName name="_xlnm._FilterDatabase" localSheetId="12" hidden="1">'目标回报反推'!$A$1:$F$4</definedName>
    <definedName name="_xlnm.Print_Area" localSheetId="12">'目标回报反推'!$A$1:$F$4</definedName>
    <definedName name="_xlnm._FilterDatabase" localSheetId="13" hidden="1">'假设依据'!$A$1:$D$8</definedName>
    <definedName name="_xlnm.Print_Area" localSheetId="13">'假设依据'!$A$1:$D$8</definedName>
    <definedName name="_xlnm._FilterDatabase" localSheetId="14" hidden="1">'历史数据与口径'!$A$1:$D$5</definedName>
    <definedName name="_xlnm.Print_Area" localSheetId="14">'历史数据与口径'!$A$1:$D$5</definedName>
    <definedName name="_xlnm._FilterDatabase" localSheetId="15" hidden="1">'风险与失效条件'!$A$1:$D$6</definedName>
    <definedName name="_xlnm.Print_Area" localSheetId="15">'风险与失效条件'!$A$1:$D$6</definedName>
    <definedName name="_xlnm._FilterDatabase" localSheetId="16" hidden="1">'数据来源'!$A$1:$E$2</definedName>
    <definedName name="_xlnm.Print_Area" localSheetId="16">'数据来源'!$A$1:$E$2</definedName>
    <definedName name="_xlnm._FilterDatabase" localSheetId="17" hidden="1">'模型检查'!$A$1:$G$8</definedName>
    <definedName name="_xlnm.Print_Area" localSheetId="17">'模型检查'!$A$1:$G$8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x"/>
    <numFmt numFmtId="166" formatCode="0.0%"/>
    <numFmt numFmtId="167" formatCode="0.0x"/>
  </numFmts>
  <fonts count="6">
    <font>
      <name val="Calibri"/>
      <family val="2"/>
      <color theme="1"/>
      <sz val="11"/>
      <scheme val="minor"/>
    </font>
    <font>
      <name val="Arial Unicode MS"/>
      <b val="1"/>
      <color rgb="00FFFFFF"/>
      <sz val="18"/>
    </font>
    <font>
      <name val="Arial Unicode MS"/>
    </font>
    <font>
      <name val="Arial Unicode MS"/>
      <color rgb="000000FF"/>
    </font>
    <font>
      <name val="Arial Unicode MS"/>
      <color theme="1"/>
      <sz val="11"/>
    </font>
    <font>
      <name val="Arial Unicode M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4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7" fontId="3" fillId="3" borderId="0" pivotButton="0" quotePrefix="0" xfId="0"/>
    <xf numFmtId="166" fontId="3" fillId="3" borderId="0" pivotButton="0" quotePrefix="0" xfId="0"/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杠杆收购（LBO）：单一Excel决策与审计模型</t>
        </is>
      </c>
    </row>
    <row r="2"/>
    <row r="4">
      <c r="A4" s="2" t="inlineStr">
        <is>
          <t>本工作簿是唯一正式用户交付物；交易逻辑、回报、风险、来源和检查均在簿内。</t>
        </is>
      </c>
    </row>
    <row r="6">
      <c r="A6" t="inlineStr">
        <is>
          <t>目标公司</t>
        </is>
      </c>
      <c r="B6" t="inlineStr">
        <is>
          <t>结构验证示例公司（DEMO）</t>
        </is>
      </c>
    </row>
    <row r="7">
      <c r="A7" t="inlineStr">
        <is>
          <t>估值/交易基准日</t>
        </is>
      </c>
      <c r="B7" t="inlineStr">
        <is>
          <t>2026-07-16</t>
        </is>
      </c>
    </row>
    <row r="8">
      <c r="A8" t="inlineStr">
        <is>
          <t>报告币种</t>
        </is>
      </c>
      <c r="B8" t="inlineStr">
        <is>
          <t>USD</t>
        </is>
      </c>
    </row>
    <row r="9">
      <c r="A9" t="inlineStr">
        <is>
          <t>默认退出窗口</t>
        </is>
      </c>
      <c r="B9" t="inlineStr">
        <is>
          <t>第3年至第7年</t>
        </is>
      </c>
    </row>
    <row r="10">
      <c r="A10" t="inlineStr">
        <is>
          <t>默认交付策略</t>
        </is>
      </c>
      <c r="B10" t="inlineStr">
        <is>
          <t>只交付Excel；独立Markdown仅在用户明确要求时额外生成</t>
        </is>
      </c>
    </row>
  </sheetData>
  <mergeCells count="1">
    <mergeCell ref="A1:F2"/>
  </mergeCells>
  <printOptions horizontalCentered="1"/>
  <pageMargins left="0.25" right="0.25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2" customWidth="1" min="3" max="3"/>
    <col width="24" customWidth="1" min="4" max="4"/>
  </cols>
  <sheetData>
    <row r="1">
      <c r="A1" s="3" t="inlineStr">
        <is>
          <t>项目</t>
        </is>
      </c>
      <c r="B1" s="3" t="inlineStr">
        <is>
          <t>数值/结论</t>
        </is>
      </c>
      <c r="C1" s="3" t="inlineStr">
        <is>
          <t>解释</t>
        </is>
      </c>
      <c r="D1" s="3" t="inlineStr">
        <is>
          <t>追溯位置</t>
        </is>
      </c>
    </row>
    <row r="2">
      <c r="A2" s="4" t="inlineStr">
        <is>
          <t>模型状态</t>
        </is>
      </c>
      <c r="B2" s="4">
        <f>'模型检查'!F8</f>
        <v/>
      </c>
      <c r="C2" s="4" t="inlineStr">
        <is>
          <t>只有PASS才允许发布MOIC、IRR和最高收购价</t>
        </is>
      </c>
      <c r="D2" s="4" t="inlineStr">
        <is>
          <t>模型检查</t>
        </is>
      </c>
    </row>
    <row r="3">
      <c r="A3" s="4" t="inlineStr">
        <is>
          <t>目标公司</t>
        </is>
      </c>
      <c r="B3" s="4" t="inlineStr">
        <is>
          <t>结构验证示例公司</t>
        </is>
      </c>
      <c r="C3" s="4" t="inlineStr">
        <is>
          <t>DEMO</t>
        </is>
      </c>
      <c r="D3" s="4" t="inlineStr">
        <is>
          <t>封面</t>
        </is>
      </c>
    </row>
    <row r="4">
      <c r="A4" s="4" t="inlineStr">
        <is>
          <t>交易基准日</t>
        </is>
      </c>
      <c r="B4" s="4" t="inlineStr">
        <is>
          <t>2026-07-16</t>
        </is>
      </c>
      <c r="C4" s="4" t="inlineStr">
        <is>
          <t>USD</t>
        </is>
      </c>
      <c r="D4" s="4" t="inlineStr">
        <is>
          <t>交易与融资假设</t>
        </is>
      </c>
    </row>
    <row r="5">
      <c r="A5" s="4" t="inlineStr">
        <is>
          <t>股权购买价</t>
        </is>
      </c>
      <c r="B5" s="4">
        <f>'交易与融资假设'!B2</f>
        <v/>
      </c>
      <c r="C5" s="4" t="inlineStr">
        <is>
          <t>金额</t>
        </is>
      </c>
      <c r="D5" s="4" t="inlineStr">
        <is>
          <t>交易与融资假设</t>
        </is>
      </c>
    </row>
    <row r="6">
      <c r="A6" s="4" t="inlineStr">
        <is>
          <t>进入企业价值</t>
        </is>
      </c>
      <c r="B6" s="4">
        <f>'交易与融资假设'!B17</f>
        <v/>
      </c>
      <c r="C6" s="4" t="inlineStr">
        <is>
          <t>金额</t>
        </is>
      </c>
      <c r="D6" s="4" t="inlineStr">
        <is>
          <t>交易与融资假设</t>
        </is>
      </c>
    </row>
    <row r="7">
      <c r="A7" s="4" t="inlineStr">
        <is>
          <t>进入倍数</t>
        </is>
      </c>
      <c r="B7" s="5">
        <f>'交易与融资假设'!B18</f>
        <v/>
      </c>
      <c r="C7" s="4" t="inlineStr">
        <is>
          <t>企业价值/EBITDA</t>
        </is>
      </c>
      <c r="D7" s="4" t="inlineStr">
        <is>
          <t>交易与融资假设</t>
        </is>
      </c>
    </row>
    <row r="8">
      <c r="A8" s="4" t="inlineStr">
        <is>
          <t>财务投资人股权</t>
        </is>
      </c>
      <c r="B8" s="4">
        <f>'Sources &amp; Uses'!D5</f>
        <v/>
      </c>
      <c r="C8" s="4" t="inlineStr">
        <is>
          <t>金额</t>
        </is>
      </c>
      <c r="D8" s="4" t="inlineStr">
        <is>
          <t>Sources &amp; Uses</t>
        </is>
      </c>
    </row>
    <row r="9">
      <c r="A9" s="4" t="inlineStr">
        <is>
          <t>基准退出年</t>
        </is>
      </c>
      <c r="B9" s="4" t="n">
        <v>5</v>
      </c>
      <c r="C9" s="4" t="inlineStr">
        <is>
          <t>持有期</t>
        </is>
      </c>
      <c r="D9" s="4" t="inlineStr">
        <is>
          <t>退出回报</t>
        </is>
      </c>
    </row>
    <row r="10">
      <c r="A10" s="4" t="inlineStr">
        <is>
          <t>基准退出倍数</t>
        </is>
      </c>
      <c r="B10" s="5" t="n">
        <v>7.625</v>
      </c>
      <c r="C10" s="4" t="inlineStr">
        <is>
          <t>倍数</t>
        </is>
      </c>
      <c r="D10" s="4" t="inlineStr">
        <is>
          <t>退出回报</t>
        </is>
      </c>
    </row>
    <row r="11">
      <c r="A11" s="4" t="inlineStr">
        <is>
          <t>基准MOIC</t>
        </is>
      </c>
      <c r="B11" s="5">
        <f>'退出回报'!N9</f>
        <v/>
      </c>
      <c r="C11" s="4" t="inlineStr">
        <is>
          <t>投资资本倍数</t>
        </is>
      </c>
      <c r="D11" s="4" t="inlineStr">
        <is>
          <t>退出回报</t>
        </is>
      </c>
    </row>
    <row r="12">
      <c r="A12" s="4" t="inlineStr">
        <is>
          <t>基准XIRR</t>
        </is>
      </c>
      <c r="B12" s="6">
        <f>'退出回报'!P9</f>
        <v/>
      </c>
      <c r="C12" s="4" t="inlineStr">
        <is>
          <t>按实际周年日期计算</t>
        </is>
      </c>
      <c r="D12" s="4" t="inlineStr">
        <is>
          <t>退出回报</t>
        </is>
      </c>
    </row>
    <row r="13">
      <c r="A13" s="4" t="inlineStr">
        <is>
          <t>基准利润</t>
        </is>
      </c>
      <c r="B13" s="7">
        <f>'退出回报'!M9</f>
        <v/>
      </c>
      <c r="C13" s="4" t="inlineStr">
        <is>
          <t>退出所得减累计投入</t>
        </is>
      </c>
      <c r="D13" s="4" t="inlineStr">
        <is>
          <t>退出回报</t>
        </is>
      </c>
    </row>
    <row r="14">
      <c r="A14" s="4" t="inlineStr">
        <is>
          <t>核心回报来源</t>
        </is>
      </c>
      <c r="B14" s="4" t="inlineStr">
        <is>
          <t>详见回报归因</t>
        </is>
      </c>
      <c r="C14" s="4" t="inlineStr">
        <is>
          <t>EBITDA增长、倍数变化、净债务偿还及费用</t>
        </is>
      </c>
      <c r="D14" s="4" t="inlineStr">
        <is>
          <t>回报归因</t>
        </is>
      </c>
    </row>
  </sheetData>
  <autoFilter ref="A1:D14"/>
  <printOptions horizontalCentered="1"/>
  <pageMargins left="0.25" right="0.25" top="0.4" bottom="0.4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32" customWidth="1" min="4" max="4"/>
  </cols>
  <sheetData>
    <row r="1">
      <c r="A1" s="3" t="inlineStr">
        <is>
          <t>字段</t>
        </is>
      </c>
      <c r="B1" s="3" t="inlineStr">
        <is>
          <t>数值</t>
        </is>
      </c>
      <c r="C1" s="3" t="inlineStr">
        <is>
          <t>单位/说明</t>
        </is>
      </c>
      <c r="D1" s="3" t="inlineStr">
        <is>
          <t>来源/假设编号</t>
        </is>
      </c>
    </row>
    <row r="2">
      <c r="A2" s="8" t="inlineStr">
        <is>
          <t>股权购买价</t>
        </is>
      </c>
      <c r="B2" s="9" t="n">
        <v>1000</v>
      </c>
      <c r="C2" s="8" t="inlineStr">
        <is>
          <t>金额</t>
        </is>
      </c>
      <c r="D2" s="8" t="inlineStr">
        <is>
          <t>交易假设</t>
        </is>
      </c>
    </row>
    <row r="3">
      <c r="A3" s="8" t="inlineStr">
        <is>
          <t>需偿还债务</t>
        </is>
      </c>
      <c r="B3" s="9" t="n">
        <v>300</v>
      </c>
      <c r="C3" s="8" t="inlineStr">
        <is>
          <t>金额</t>
        </is>
      </c>
      <c r="D3" s="8" t="inlineStr">
        <is>
          <t>交易假设</t>
        </is>
      </c>
    </row>
    <row r="4">
      <c r="A4" s="8" t="inlineStr">
        <is>
          <t>目标现金使用</t>
        </is>
      </c>
      <c r="B4" s="9" t="n">
        <v>40</v>
      </c>
      <c r="C4" s="8" t="inlineStr">
        <is>
          <t>金额</t>
        </is>
      </c>
      <c r="D4" s="8" t="inlineStr">
        <is>
          <t>交易假设</t>
        </is>
      </c>
    </row>
    <row r="5">
      <c r="A5" s="8" t="inlineStr">
        <is>
          <t>交易费用</t>
        </is>
      </c>
      <c r="B5" s="9" t="n">
        <v>20</v>
      </c>
      <c r="C5" s="8" t="inlineStr">
        <is>
          <t>金额</t>
        </is>
      </c>
      <c r="D5" s="8" t="inlineStr">
        <is>
          <t>交易假设</t>
        </is>
      </c>
    </row>
    <row r="6">
      <c r="A6" s="8" t="inlineStr">
        <is>
          <t>融资费用</t>
        </is>
      </c>
      <c r="B6" s="9" t="n">
        <v>10</v>
      </c>
      <c r="C6" s="8" t="inlineStr">
        <is>
          <t>金额</t>
        </is>
      </c>
      <c r="D6" s="8" t="inlineStr">
        <is>
          <t>融资假设</t>
        </is>
      </c>
    </row>
    <row r="7">
      <c r="A7" s="8" t="inlineStr">
        <is>
          <t>最低现金</t>
        </is>
      </c>
      <c r="B7" s="9" t="n">
        <v>30</v>
      </c>
      <c r="C7" s="8" t="inlineStr">
        <is>
          <t>金额</t>
        </is>
      </c>
      <c r="D7" s="8" t="inlineStr">
        <is>
          <t>流动性假设</t>
        </is>
      </c>
    </row>
    <row r="8">
      <c r="A8" s="8" t="inlineStr">
        <is>
          <t>管理层滚存</t>
        </is>
      </c>
      <c r="B8" s="9" t="n">
        <v>50</v>
      </c>
      <c r="C8" s="8" t="inlineStr">
        <is>
          <t>金额</t>
        </is>
      </c>
      <c r="D8" s="8" t="inlineStr">
        <is>
          <t>交易假设</t>
        </is>
      </c>
    </row>
    <row r="9">
      <c r="A9" s="8" t="inlineStr">
        <is>
          <t>进入EBITDA</t>
        </is>
      </c>
      <c r="B9" s="9" t="n">
        <v>160</v>
      </c>
      <c r="C9" s="8" t="inlineStr">
        <is>
          <t>金额</t>
        </is>
      </c>
      <c r="D9" s="8" t="inlineStr">
        <is>
          <t>经营假设</t>
        </is>
      </c>
    </row>
    <row r="10">
      <c r="A10" s="8" t="inlineStr">
        <is>
          <t>退出费用率</t>
        </is>
      </c>
      <c r="B10" s="9" t="n">
        <v>0.01</v>
      </c>
      <c r="C10" s="8" t="inlineStr">
        <is>
          <t>百分比</t>
        </is>
      </c>
      <c r="D10" s="8" t="inlineStr">
        <is>
          <t>退出假设</t>
        </is>
      </c>
    </row>
    <row r="11">
      <c r="A11" s="8" t="inlineStr">
        <is>
          <t>退出债务类调整</t>
        </is>
      </c>
      <c r="B11" s="9" t="n">
        <v>0</v>
      </c>
      <c r="C11" s="8" t="inlineStr">
        <is>
          <t>金额</t>
        </is>
      </c>
      <c r="D11" s="8" t="inlineStr">
        <is>
          <t>退出假设</t>
        </is>
      </c>
    </row>
    <row r="12">
      <c r="A12" s="8" t="inlineStr">
        <is>
          <t>交易基准日</t>
        </is>
      </c>
      <c r="B12" s="10" t="n">
        <v>46219</v>
      </c>
      <c r="C12" s="8" t="inlineStr">
        <is>
          <t>日期</t>
        </is>
      </c>
      <c r="D12" s="8" t="inlineStr">
        <is>
          <t>估值基准</t>
        </is>
      </c>
    </row>
    <row r="13">
      <c r="A13" s="8" t="inlineStr">
        <is>
          <t>收购现金</t>
        </is>
      </c>
      <c r="B13" s="9" t="n">
        <v>80</v>
      </c>
      <c r="C13" s="8" t="inlineStr">
        <is>
          <t>金额</t>
        </is>
      </c>
      <c r="D13" s="8" t="inlineStr">
        <is>
          <t>交易假设</t>
        </is>
      </c>
    </row>
    <row r="14">
      <c r="A14" s="8" t="inlineStr">
        <is>
          <t>少数股东权益</t>
        </is>
      </c>
      <c r="B14" s="9" t="n">
        <v>0</v>
      </c>
      <c r="C14" s="8" t="inlineStr">
        <is>
          <t>金额</t>
        </is>
      </c>
      <c r="D14" s="8" t="inlineStr">
        <is>
          <t>估值调整</t>
        </is>
      </c>
    </row>
    <row r="15">
      <c r="A15" s="8" t="inlineStr">
        <is>
          <t>优先股</t>
        </is>
      </c>
      <c r="B15" s="9" t="n">
        <v>0</v>
      </c>
      <c r="C15" s="8" t="inlineStr">
        <is>
          <t>金额</t>
        </is>
      </c>
      <c r="D15" s="8" t="inlineStr">
        <is>
          <t>估值调整</t>
        </is>
      </c>
    </row>
    <row r="16">
      <c r="A16" s="8" t="inlineStr">
        <is>
          <t>其他债务类项目</t>
        </is>
      </c>
      <c r="B16" s="9" t="n">
        <v>0</v>
      </c>
      <c r="C16" s="8" t="inlineStr">
        <is>
          <t>金额</t>
        </is>
      </c>
      <c r="D16" s="8" t="inlineStr">
        <is>
          <t>估值调整</t>
        </is>
      </c>
    </row>
    <row r="17">
      <c r="A17" s="8" t="inlineStr">
        <is>
          <t>进入企业价值</t>
        </is>
      </c>
      <c r="B17" s="8">
        <f>B2+B3-B13+B14+B15+B16</f>
        <v/>
      </c>
      <c r="C17" s="8" t="inlineStr">
        <is>
          <t>金额</t>
        </is>
      </c>
      <c r="D17" s="8" t="inlineStr">
        <is>
          <t>股权购买价+净债务+类债务调整</t>
        </is>
      </c>
    </row>
    <row r="18">
      <c r="A18" s="8" t="inlineStr">
        <is>
          <t>进入倍数</t>
        </is>
      </c>
      <c r="B18" s="8">
        <f>IFERROR(B17/B9,"")</f>
        <v/>
      </c>
      <c r="C18" s="8" t="inlineStr">
        <is>
          <t>倍数</t>
        </is>
      </c>
      <c r="D18" s="8" t="inlineStr">
        <is>
          <t>进入企业价值/进入EBITDA</t>
        </is>
      </c>
    </row>
  </sheetData>
  <autoFilter ref="A1:D18"/>
  <printOptions horizontalCentered="1"/>
  <pageMargins left="0.25" right="0.25" top="0.4" bottom="0.4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8" customWidth="1" min="4" max="4"/>
  </cols>
  <sheetData>
    <row r="1">
      <c r="A1" s="3" t="inlineStr">
        <is>
          <t>用途</t>
        </is>
      </c>
      <c r="B1" s="3" t="inlineStr">
        <is>
          <t>金额</t>
        </is>
      </c>
      <c r="C1" s="3" t="inlineStr">
        <is>
          <t>资金来源</t>
        </is>
      </c>
      <c r="D1" s="3" t="inlineStr">
        <is>
          <t>金额</t>
        </is>
      </c>
    </row>
    <row r="2">
      <c r="A2" s="8" t="inlineStr">
        <is>
          <t>股权购买价</t>
        </is>
      </c>
      <c r="B2" s="8">
        <f>'交易与融资假设'!B2</f>
        <v/>
      </c>
      <c r="C2" s="8" t="inlineStr">
        <is>
          <t>新债务</t>
        </is>
      </c>
      <c r="D2" s="8">
        <f>SUM('债务假设'!B2:B200)</f>
        <v/>
      </c>
    </row>
    <row r="3">
      <c r="A3" s="8" t="inlineStr">
        <is>
          <t>需偿还债务</t>
        </is>
      </c>
      <c r="B3" s="8">
        <f>'交易与融资假设'!B3</f>
        <v/>
      </c>
      <c r="C3" s="8" t="inlineStr">
        <is>
          <t>目标现金使用</t>
        </is>
      </c>
      <c r="D3" s="8">
        <f>'交易与融资假设'!B4</f>
        <v/>
      </c>
    </row>
    <row r="4">
      <c r="A4" s="8" t="inlineStr">
        <is>
          <t>优先股偿还</t>
        </is>
      </c>
      <c r="B4" s="8" t="n">
        <v>0</v>
      </c>
      <c r="C4" s="8" t="inlineStr">
        <is>
          <t>管理层滚存</t>
        </is>
      </c>
      <c r="D4" s="8">
        <f>'交易与融资假设'!B8</f>
        <v/>
      </c>
    </row>
    <row r="5">
      <c r="A5" s="8" t="inlineStr">
        <is>
          <t>其他债务类偿还</t>
        </is>
      </c>
      <c r="B5" s="8" t="n">
        <v>0</v>
      </c>
      <c r="C5" s="8" t="inlineStr">
        <is>
          <t>财务投资人股权</t>
        </is>
      </c>
      <c r="D5" s="8">
        <f>B9-SUM(D2:D4)</f>
        <v/>
      </c>
    </row>
    <row r="6">
      <c r="A6" s="8" t="inlineStr">
        <is>
          <t>交易费用</t>
        </is>
      </c>
      <c r="B6" s="8">
        <f>'交易与融资假设'!B5</f>
        <v/>
      </c>
      <c r="C6" s="8" t="inlineStr"/>
      <c r="D6" s="8" t="inlineStr"/>
    </row>
    <row r="7">
      <c r="A7" s="8" t="inlineStr">
        <is>
          <t>融资费用</t>
        </is>
      </c>
      <c r="B7" s="8">
        <f>'交易与融资假设'!B6</f>
        <v/>
      </c>
      <c r="C7" s="8" t="inlineStr"/>
      <c r="D7" s="8" t="inlineStr"/>
    </row>
    <row r="8">
      <c r="A8" s="8" t="inlineStr">
        <is>
          <t>最低现金</t>
        </is>
      </c>
      <c r="B8" s="8">
        <f>'交易与融资假设'!B7</f>
        <v/>
      </c>
      <c r="C8" s="8" t="inlineStr"/>
      <c r="D8" s="8" t="inlineStr"/>
    </row>
    <row r="9">
      <c r="A9" s="8" t="inlineStr">
        <is>
          <t>总用途</t>
        </is>
      </c>
      <c r="B9" s="8">
        <f>SUM(B2:B8)</f>
        <v/>
      </c>
      <c r="C9" s="8" t="inlineStr">
        <is>
          <t>总来源</t>
        </is>
      </c>
      <c r="D9" s="8">
        <f>SUM(D2:D5)</f>
        <v/>
      </c>
    </row>
    <row r="10">
      <c r="A10" s="8" t="inlineStr">
        <is>
          <t>平衡检查</t>
        </is>
      </c>
      <c r="B10" s="8">
        <f>D9-B9</f>
        <v/>
      </c>
      <c r="C10" s="8" t="inlineStr"/>
      <c r="D10" s="8" t="inlineStr"/>
    </row>
  </sheetData>
  <autoFilter ref="A1:D10"/>
  <printOptions horizontalCentered="1"/>
  <pageMargins left="0.25" right="0.25" top="0.4" bottom="0.4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24" customWidth="1" min="10" max="10"/>
  </cols>
  <sheetData>
    <row r="1">
      <c r="A1" s="3" t="inlineStr">
        <is>
          <t>债务层级</t>
        </is>
      </c>
      <c r="B1" s="3" t="inlineStr">
        <is>
          <t>期初余额</t>
        </is>
      </c>
      <c r="C1" s="3" t="inlineStr">
        <is>
          <t>现金利率</t>
        </is>
      </c>
      <c r="D1" s="3" t="inlineStr">
        <is>
          <t>PIK利率</t>
        </is>
      </c>
      <c r="E1" s="3" t="inlineStr">
        <is>
          <t>强制摊还率</t>
        </is>
      </c>
      <c r="F1" s="3" t="inlineStr">
        <is>
          <t>偿还优先级</t>
        </is>
      </c>
      <c r="G1" s="3" t="inlineStr">
        <is>
          <t>是否循环额度</t>
        </is>
      </c>
      <c r="H1" s="3" t="inlineStr">
        <is>
          <t>承诺额度</t>
        </is>
      </c>
      <c r="I1" s="3" t="inlineStr">
        <is>
          <t>到期年</t>
        </is>
      </c>
      <c r="J1" s="3" t="inlineStr">
        <is>
          <t>来源/假设编号</t>
        </is>
      </c>
    </row>
    <row r="2">
      <c r="A2" s="8" t="inlineStr">
        <is>
          <t>Revolver</t>
        </is>
      </c>
      <c r="B2" s="9" t="n">
        <v>0</v>
      </c>
      <c r="C2" s="9" t="n">
        <v>0.09</v>
      </c>
      <c r="D2" s="9" t="n">
        <v>0</v>
      </c>
      <c r="E2" s="9" t="n">
        <v>0</v>
      </c>
      <c r="F2" s="9" t="n">
        <v>1</v>
      </c>
      <c r="G2" s="9" t="n">
        <v>1</v>
      </c>
      <c r="H2" s="9" t="n">
        <v>100</v>
      </c>
      <c r="I2" s="9" t="n">
        <v>5</v>
      </c>
      <c r="J2" s="8" t="inlineStr">
        <is>
          <t>融资条款</t>
        </is>
      </c>
    </row>
    <row r="3">
      <c r="A3" s="8" t="inlineStr">
        <is>
          <t>Term Loan</t>
        </is>
      </c>
      <c r="B3" s="9" t="n">
        <v>600</v>
      </c>
      <c r="C3" s="9" t="n">
        <v>0.08</v>
      </c>
      <c r="D3" s="9" t="n">
        <v>0</v>
      </c>
      <c r="E3" s="9" t="n">
        <v>0.01</v>
      </c>
      <c r="F3" s="9" t="n">
        <v>2</v>
      </c>
      <c r="G3" s="9" t="n">
        <v>0</v>
      </c>
      <c r="H3" s="9" t="n">
        <v>0</v>
      </c>
      <c r="I3" s="9" t="n">
        <v>7</v>
      </c>
      <c r="J3" s="8" t="inlineStr">
        <is>
          <t>融资条款</t>
        </is>
      </c>
    </row>
  </sheetData>
  <autoFilter ref="A1:J3"/>
  <printOptions horizontalCentered="1"/>
  <pageMargins left="0.25" right="0.25" top="0.4" bottom="0.4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5" customWidth="1" min="4" max="4"/>
    <col width="15" customWidth="1" min="5" max="5"/>
    <col width="17" customWidth="1" min="6" max="6"/>
    <col width="17" customWidth="1" min="7" max="7"/>
    <col width="17" customWidth="1" min="8" max="8"/>
    <col width="22" customWidth="1" min="9" max="9"/>
    <col width="22" customWidth="1" min="10" max="10"/>
  </cols>
  <sheetData>
    <row r="1">
      <c r="A1" s="3" t="inlineStr">
        <is>
          <t>年度</t>
        </is>
      </c>
      <c r="B1" s="3" t="inlineStr">
        <is>
          <t>EBITDA</t>
        </is>
      </c>
      <c r="C1" s="3" t="inlineStr">
        <is>
          <t>同比增长</t>
        </is>
      </c>
      <c r="D1" s="3" t="inlineStr">
        <is>
          <t>现金税</t>
        </is>
      </c>
      <c r="E1" s="3" t="inlineStr">
        <is>
          <t>资本开支</t>
        </is>
      </c>
      <c r="F1" s="3" t="inlineStr">
        <is>
          <t>营运资本增加</t>
        </is>
      </c>
      <c r="G1" s="3" t="inlineStr">
        <is>
          <t>其他现金成本</t>
        </is>
      </c>
      <c r="H1" s="3" t="inlineStr">
        <is>
          <t>后续股权投入</t>
        </is>
      </c>
      <c r="I1" s="3" t="inlineStr">
        <is>
          <t>计划财务投资人分红</t>
        </is>
      </c>
      <c r="J1" s="3" t="inlineStr">
        <is>
          <t>利息前可用于偿债现金</t>
        </is>
      </c>
    </row>
    <row r="2">
      <c r="A2" s="9" t="n">
        <v>1</v>
      </c>
      <c r="B2" s="9" t="n">
        <v>168</v>
      </c>
      <c r="C2" s="8">
        <f>IFERROR(B2/'交易与融资假设'!B9-1,"")</f>
        <v/>
      </c>
      <c r="D2" s="9" t="n">
        <v>19</v>
      </c>
      <c r="E2" s="9" t="n">
        <v>29</v>
      </c>
      <c r="F2" s="9" t="n">
        <v>5</v>
      </c>
      <c r="G2" s="9" t="n">
        <v>0</v>
      </c>
      <c r="H2" s="9" t="n">
        <v>0</v>
      </c>
      <c r="I2" s="9" t="n">
        <v>0</v>
      </c>
      <c r="J2" s="8">
        <f>B2-SUM(D2:G2)+H2/('Sources &amp; Uses'!D5/('Sources &amp; Uses'!D5+'交易与融资假设'!B8))</f>
        <v/>
      </c>
    </row>
    <row r="3">
      <c r="A3" s="9" t="n">
        <v>2</v>
      </c>
      <c r="B3" s="9" t="n">
        <v>176.4</v>
      </c>
      <c r="C3" s="8">
        <f>IFERROR(B3/B2-1,"")</f>
        <v/>
      </c>
      <c r="D3" s="9" t="n">
        <v>20</v>
      </c>
      <c r="E3" s="9" t="n">
        <v>30</v>
      </c>
      <c r="F3" s="9" t="n">
        <v>5</v>
      </c>
      <c r="G3" s="9" t="n">
        <v>0</v>
      </c>
      <c r="H3" s="9" t="n">
        <v>0</v>
      </c>
      <c r="I3" s="9" t="n">
        <v>0</v>
      </c>
      <c r="J3" s="8">
        <f>B3-SUM(D3:G3)+H3/('Sources &amp; Uses'!D5/('Sources &amp; Uses'!D5+'交易与融资假设'!B8))</f>
        <v/>
      </c>
    </row>
    <row r="4">
      <c r="A4" s="9" t="n">
        <v>3</v>
      </c>
      <c r="B4" s="9" t="n">
        <v>185.22</v>
      </c>
      <c r="C4" s="8">
        <f>IFERROR(B4/B3-1,"")</f>
        <v/>
      </c>
      <c r="D4" s="9" t="n">
        <v>21</v>
      </c>
      <c r="E4" s="9" t="n">
        <v>31</v>
      </c>
      <c r="F4" s="9" t="n">
        <v>5</v>
      </c>
      <c r="G4" s="9" t="n">
        <v>0</v>
      </c>
      <c r="H4" s="9" t="n">
        <v>0</v>
      </c>
      <c r="I4" s="9" t="n">
        <v>0</v>
      </c>
      <c r="J4" s="8">
        <f>B4-SUM(D4:G4)+H4/('Sources &amp; Uses'!D5/('Sources &amp; Uses'!D5+'交易与融资假设'!B8))</f>
        <v/>
      </c>
    </row>
    <row r="5">
      <c r="A5" s="9" t="n">
        <v>4</v>
      </c>
      <c r="B5" s="9" t="n">
        <v>194.481</v>
      </c>
      <c r="C5" s="8">
        <f>IFERROR(B5/B4-1,"")</f>
        <v/>
      </c>
      <c r="D5" s="9" t="n">
        <v>22</v>
      </c>
      <c r="E5" s="9" t="n">
        <v>32</v>
      </c>
      <c r="F5" s="9" t="n">
        <v>5</v>
      </c>
      <c r="G5" s="9" t="n">
        <v>0</v>
      </c>
      <c r="H5" s="9" t="n">
        <v>0</v>
      </c>
      <c r="I5" s="9" t="n">
        <v>0</v>
      </c>
      <c r="J5" s="8">
        <f>B5-SUM(D5:G5)+H5/('Sources &amp; Uses'!D5/('Sources &amp; Uses'!D5+'交易与融资假设'!B8))</f>
        <v/>
      </c>
    </row>
    <row r="6">
      <c r="A6" s="9" t="n">
        <v>5</v>
      </c>
      <c r="B6" s="9" t="n">
        <v>204.20505</v>
      </c>
      <c r="C6" s="8">
        <f>IFERROR(B6/B5-1,"")</f>
        <v/>
      </c>
      <c r="D6" s="9" t="n">
        <v>23</v>
      </c>
      <c r="E6" s="9" t="n">
        <v>33</v>
      </c>
      <c r="F6" s="9" t="n">
        <v>5</v>
      </c>
      <c r="G6" s="9" t="n">
        <v>0</v>
      </c>
      <c r="H6" s="9" t="n">
        <v>0</v>
      </c>
      <c r="I6" s="9" t="n">
        <v>0</v>
      </c>
      <c r="J6" s="8">
        <f>B6-SUM(D6:G6)+H6/('Sources &amp; Uses'!D5/('Sources &amp; Uses'!D5+'交易与融资假设'!B8))</f>
        <v/>
      </c>
    </row>
    <row r="7">
      <c r="A7" s="9" t="n">
        <v>6</v>
      </c>
      <c r="B7" s="9" t="n">
        <v>214.4153025</v>
      </c>
      <c r="C7" s="8">
        <f>IFERROR(B7/B6-1,"")</f>
        <v/>
      </c>
      <c r="D7" s="9" t="n">
        <v>24</v>
      </c>
      <c r="E7" s="9" t="n">
        <v>34</v>
      </c>
      <c r="F7" s="9" t="n">
        <v>5</v>
      </c>
      <c r="G7" s="9" t="n">
        <v>0</v>
      </c>
      <c r="H7" s="9" t="n">
        <v>0</v>
      </c>
      <c r="I7" s="9" t="n">
        <v>0</v>
      </c>
      <c r="J7" s="8">
        <f>B7-SUM(D7:G7)+H7/('Sources &amp; Uses'!D5/('Sources &amp; Uses'!D5+'交易与融资假设'!B8))</f>
        <v/>
      </c>
    </row>
    <row r="8">
      <c r="A8" s="9" t="n">
        <v>7</v>
      </c>
      <c r="B8" s="9" t="n">
        <v>225.136067625</v>
      </c>
      <c r="C8" s="8">
        <f>IFERROR(B8/B7-1,"")</f>
        <v/>
      </c>
      <c r="D8" s="9" t="n">
        <v>25</v>
      </c>
      <c r="E8" s="9" t="n">
        <v>35</v>
      </c>
      <c r="F8" s="9" t="n">
        <v>5</v>
      </c>
      <c r="G8" s="9" t="n">
        <v>0</v>
      </c>
      <c r="H8" s="9" t="n">
        <v>0</v>
      </c>
      <c r="I8" s="9" t="n">
        <v>0</v>
      </c>
      <c r="J8" s="8">
        <f>B8-SUM(D8:G8)+H8/('Sources &amp; Uses'!D5/('Sources &amp; Uses'!D5+'交易与融资假设'!B8))</f>
        <v/>
      </c>
    </row>
  </sheetData>
  <autoFilter ref="A1:J8"/>
  <printOptions horizontalCentered="1"/>
  <pageMargins left="0.25" right="0.25" top="0.4" bottom="0.4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</cols>
  <sheetData>
    <row r="1">
      <c r="A1" s="3" t="inlineStr">
        <is>
          <t>年度</t>
        </is>
      </c>
      <c r="B1" s="3" t="inlineStr">
        <is>
          <t>债务层级</t>
        </is>
      </c>
      <c r="C1" s="3" t="inlineStr">
        <is>
          <t>期初余额</t>
        </is>
      </c>
      <c r="D1" s="3" t="inlineStr">
        <is>
          <t>现金利息</t>
        </is>
      </c>
      <c r="E1" s="3" t="inlineStr">
        <is>
          <t>PIK利息</t>
        </is>
      </c>
      <c r="F1" s="3" t="inlineStr">
        <is>
          <t>强制摊还</t>
        </is>
      </c>
      <c r="G1" s="3" t="inlineStr">
        <is>
          <t>现金扫款</t>
        </is>
      </c>
      <c r="H1" s="3" t="inlineStr">
        <is>
          <t>循环额度提款</t>
        </is>
      </c>
      <c r="I1" s="3" t="inlineStr">
        <is>
          <t>期末余额</t>
        </is>
      </c>
    </row>
    <row r="2">
      <c r="A2" s="8">
        <f>'经营预测'!A2</f>
        <v/>
      </c>
      <c r="B2" s="8">
        <f>'债务假设'!A2</f>
        <v/>
      </c>
      <c r="C2" s="8">
        <f>'债务假设'!B2</f>
        <v/>
      </c>
      <c r="D2" s="8">
        <f>C2*'债务假设'!C2</f>
        <v/>
      </c>
      <c r="E2" s="8">
        <f>C2*'债务假设'!D2</f>
        <v/>
      </c>
      <c r="F2" s="8">
        <f>MIN(C2+E2,IF(AND('债务假设'!I2&lt;&gt;"",A2&gt;='债务假设'!I2),C2+E2,C2*'债务假设'!E2))</f>
        <v/>
      </c>
      <c r="G2" s="8">
        <f>MIN(MAX(0,'现金与利息'!B2-SUMIFS($D$2:$D$500,$A$2:$A$500,A2)-SUMIFS($F$2:$F$500,$A$2:$A$500,A2)-0),MAX(0,C2+E2-F2))</f>
        <v/>
      </c>
      <c r="H2" s="8">
        <f>MIN(MAX(0,SUMIFS($D$2:$D$500,$A$2:$A$500,A2)+SUMIFS($F$2:$F$500,$A$2:$A$500,A2)-'现金与利息'!B2),MAX(0,'债务假设'!H2-C2-E2))</f>
        <v/>
      </c>
      <c r="I2" s="8">
        <f>MAX(0,C2+E2+H2-F2-G2)</f>
        <v/>
      </c>
    </row>
    <row r="3">
      <c r="A3" s="8">
        <f>'经营预测'!A2</f>
        <v/>
      </c>
      <c r="B3" s="8">
        <f>'债务假设'!A3</f>
        <v/>
      </c>
      <c r="C3" s="8">
        <f>'债务假设'!B3</f>
        <v/>
      </c>
      <c r="D3" s="8">
        <f>C3*'债务假设'!C3</f>
        <v/>
      </c>
      <c r="E3" s="8">
        <f>C3*'债务假设'!D3</f>
        <v/>
      </c>
      <c r="F3" s="8">
        <f>MIN(C3+E3,IF(AND('债务假设'!I3&lt;&gt;"",A3&gt;='债务假设'!I3),C3+E3,C3*'债务假设'!E3))</f>
        <v/>
      </c>
      <c r="G3" s="8">
        <f>MIN(MAX(0,'现金与利息'!B2-SUMIFS($D$2:$D$500,$A$2:$A$500,A3)-SUMIFS($F$2:$F$500,$A$2:$A$500,A3)-SUM(G2:G2)),MAX(0,C3+E3-F3))</f>
        <v/>
      </c>
      <c r="H3" s="8">
        <f>'债务假设'!H3*0</f>
        <v/>
      </c>
      <c r="I3" s="8">
        <f>MAX(0,C3+E3+H3-F3-G3)</f>
        <v/>
      </c>
    </row>
    <row r="4">
      <c r="A4" s="8">
        <f>'经营预测'!A3</f>
        <v/>
      </c>
      <c r="B4" s="8">
        <f>'债务假设'!A2</f>
        <v/>
      </c>
      <c r="C4" s="8">
        <f>'分层债务'!I2</f>
        <v/>
      </c>
      <c r="D4" s="8">
        <f>C4*'债务假设'!C2</f>
        <v/>
      </c>
      <c r="E4" s="8">
        <f>C4*'债务假设'!D2</f>
        <v/>
      </c>
      <c r="F4" s="8">
        <f>MIN(C4+E4,IF(AND('债务假设'!I2&lt;&gt;"",A4&gt;='债务假设'!I2),C4+E4,C4*'债务假设'!E2))</f>
        <v/>
      </c>
      <c r="G4" s="8">
        <f>MIN(MAX(0,'现金与利息'!B3-SUMIFS($D$2:$D$500,$A$2:$A$500,A4)-SUMIFS($F$2:$F$500,$A$2:$A$500,A4)-0),MAX(0,C4+E4-F4))</f>
        <v/>
      </c>
      <c r="H4" s="8">
        <f>MIN(MAX(0,SUMIFS($D$2:$D$500,$A$2:$A$500,A4)+SUMIFS($F$2:$F$500,$A$2:$A$500,A4)-'现金与利息'!B3),MAX(0,'债务假设'!H2-C4-E4))</f>
        <v/>
      </c>
      <c r="I4" s="8">
        <f>MAX(0,C4+E4+H4-F4-G4)</f>
        <v/>
      </c>
    </row>
    <row r="5">
      <c r="A5" s="8">
        <f>'经营预测'!A3</f>
        <v/>
      </c>
      <c r="B5" s="8">
        <f>'债务假设'!A3</f>
        <v/>
      </c>
      <c r="C5" s="8">
        <f>'分层债务'!I3</f>
        <v/>
      </c>
      <c r="D5" s="8">
        <f>C5*'债务假设'!C3</f>
        <v/>
      </c>
      <c r="E5" s="8">
        <f>C5*'债务假设'!D3</f>
        <v/>
      </c>
      <c r="F5" s="8">
        <f>MIN(C5+E5,IF(AND('债务假设'!I3&lt;&gt;"",A5&gt;='债务假设'!I3),C5+E5,C5*'债务假设'!E3))</f>
        <v/>
      </c>
      <c r="G5" s="8">
        <f>MIN(MAX(0,'现金与利息'!B3-SUMIFS($D$2:$D$500,$A$2:$A$500,A5)-SUMIFS($F$2:$F$500,$A$2:$A$500,A5)-SUM(G4:G4)),MAX(0,C5+E5-F5))</f>
        <v/>
      </c>
      <c r="H5" s="8">
        <f>'债务假设'!H3*0</f>
        <v/>
      </c>
      <c r="I5" s="8">
        <f>MAX(0,C5+E5+H5-F5-G5)</f>
        <v/>
      </c>
    </row>
    <row r="6">
      <c r="A6" s="8">
        <f>'经营预测'!A4</f>
        <v/>
      </c>
      <c r="B6" s="8">
        <f>'债务假设'!A2</f>
        <v/>
      </c>
      <c r="C6" s="8">
        <f>'分层债务'!I4</f>
        <v/>
      </c>
      <c r="D6" s="8">
        <f>C6*'债务假设'!C2</f>
        <v/>
      </c>
      <c r="E6" s="8">
        <f>C6*'债务假设'!D2</f>
        <v/>
      </c>
      <c r="F6" s="8">
        <f>MIN(C6+E6,IF(AND('债务假设'!I2&lt;&gt;"",A6&gt;='债务假设'!I2),C6+E6,C6*'债务假设'!E2))</f>
        <v/>
      </c>
      <c r="G6" s="8">
        <f>MIN(MAX(0,'现金与利息'!B4-SUMIFS($D$2:$D$500,$A$2:$A$500,A6)-SUMIFS($F$2:$F$500,$A$2:$A$500,A6)-0),MAX(0,C6+E6-F6))</f>
        <v/>
      </c>
      <c r="H6" s="8">
        <f>MIN(MAX(0,SUMIFS($D$2:$D$500,$A$2:$A$500,A6)+SUMIFS($F$2:$F$500,$A$2:$A$500,A6)-'现金与利息'!B4),MAX(0,'债务假设'!H2-C6-E6))</f>
        <v/>
      </c>
      <c r="I6" s="8">
        <f>MAX(0,C6+E6+H6-F6-G6)</f>
        <v/>
      </c>
    </row>
    <row r="7">
      <c r="A7" s="8">
        <f>'经营预测'!A4</f>
        <v/>
      </c>
      <c r="B7" s="8">
        <f>'债务假设'!A3</f>
        <v/>
      </c>
      <c r="C7" s="8">
        <f>'分层债务'!I5</f>
        <v/>
      </c>
      <c r="D7" s="8">
        <f>C7*'债务假设'!C3</f>
        <v/>
      </c>
      <c r="E7" s="8">
        <f>C7*'债务假设'!D3</f>
        <v/>
      </c>
      <c r="F7" s="8">
        <f>MIN(C7+E7,IF(AND('债务假设'!I3&lt;&gt;"",A7&gt;='债务假设'!I3),C7+E7,C7*'债务假设'!E3))</f>
        <v/>
      </c>
      <c r="G7" s="8">
        <f>MIN(MAX(0,'现金与利息'!B4-SUMIFS($D$2:$D$500,$A$2:$A$500,A7)-SUMIFS($F$2:$F$500,$A$2:$A$500,A7)-SUM(G6:G6)),MAX(0,C7+E7-F7))</f>
        <v/>
      </c>
      <c r="H7" s="8">
        <f>'债务假设'!H3*0</f>
        <v/>
      </c>
      <c r="I7" s="8">
        <f>MAX(0,C7+E7+H7-F7-G7)</f>
        <v/>
      </c>
    </row>
    <row r="8">
      <c r="A8" s="8">
        <f>'经营预测'!A5</f>
        <v/>
      </c>
      <c r="B8" s="8">
        <f>'债务假设'!A2</f>
        <v/>
      </c>
      <c r="C8" s="8">
        <f>'分层债务'!I6</f>
        <v/>
      </c>
      <c r="D8" s="8">
        <f>C8*'债务假设'!C2</f>
        <v/>
      </c>
      <c r="E8" s="8">
        <f>C8*'债务假设'!D2</f>
        <v/>
      </c>
      <c r="F8" s="8">
        <f>MIN(C8+E8,IF(AND('债务假设'!I2&lt;&gt;"",A8&gt;='债务假设'!I2),C8+E8,C8*'债务假设'!E2))</f>
        <v/>
      </c>
      <c r="G8" s="8">
        <f>MIN(MAX(0,'现金与利息'!B5-SUMIFS($D$2:$D$500,$A$2:$A$500,A8)-SUMIFS($F$2:$F$500,$A$2:$A$500,A8)-0),MAX(0,C8+E8-F8))</f>
        <v/>
      </c>
      <c r="H8" s="8">
        <f>MIN(MAX(0,SUMIFS($D$2:$D$500,$A$2:$A$500,A8)+SUMIFS($F$2:$F$500,$A$2:$A$500,A8)-'现金与利息'!B5),MAX(0,'债务假设'!H2-C8-E8))</f>
        <v/>
      </c>
      <c r="I8" s="8">
        <f>MAX(0,C8+E8+H8-F8-G8)</f>
        <v/>
      </c>
    </row>
    <row r="9">
      <c r="A9" s="8">
        <f>'经营预测'!A5</f>
        <v/>
      </c>
      <c r="B9" s="8">
        <f>'债务假设'!A3</f>
        <v/>
      </c>
      <c r="C9" s="8">
        <f>'分层债务'!I7</f>
        <v/>
      </c>
      <c r="D9" s="8">
        <f>C9*'债务假设'!C3</f>
        <v/>
      </c>
      <c r="E9" s="8">
        <f>C9*'债务假设'!D3</f>
        <v/>
      </c>
      <c r="F9" s="8">
        <f>MIN(C9+E9,IF(AND('债务假设'!I3&lt;&gt;"",A9&gt;='债务假设'!I3),C9+E9,C9*'债务假设'!E3))</f>
        <v/>
      </c>
      <c r="G9" s="8">
        <f>MIN(MAX(0,'现金与利息'!B5-SUMIFS($D$2:$D$500,$A$2:$A$500,A9)-SUMIFS($F$2:$F$500,$A$2:$A$500,A9)-SUM(G8:G8)),MAX(0,C9+E9-F9))</f>
        <v/>
      </c>
      <c r="H9" s="8">
        <f>'债务假设'!H3*0</f>
        <v/>
      </c>
      <c r="I9" s="8">
        <f>MAX(0,C9+E9+H9-F9-G9)</f>
        <v/>
      </c>
    </row>
    <row r="10">
      <c r="A10" s="8">
        <f>'经营预测'!A6</f>
        <v/>
      </c>
      <c r="B10" s="8">
        <f>'债务假设'!A2</f>
        <v/>
      </c>
      <c r="C10" s="8">
        <f>'分层债务'!I8</f>
        <v/>
      </c>
      <c r="D10" s="8">
        <f>C10*'债务假设'!C2</f>
        <v/>
      </c>
      <c r="E10" s="8">
        <f>C10*'债务假设'!D2</f>
        <v/>
      </c>
      <c r="F10" s="8">
        <f>MIN(C10+E10,IF(AND('债务假设'!I2&lt;&gt;"",A10&gt;='债务假设'!I2),C10+E10,C10*'债务假设'!E2))</f>
        <v/>
      </c>
      <c r="G10" s="8">
        <f>MIN(MAX(0,'现金与利息'!B6-SUMIFS($D$2:$D$500,$A$2:$A$500,A10)-SUMIFS($F$2:$F$500,$A$2:$A$500,A10)-0),MAX(0,C10+E10-F10))</f>
        <v/>
      </c>
      <c r="H10" s="8">
        <f>MIN(MAX(0,SUMIFS($D$2:$D$500,$A$2:$A$500,A10)+SUMIFS($F$2:$F$500,$A$2:$A$500,A10)-'现金与利息'!B6),MAX(0,'债务假设'!H2-C10-E10))</f>
        <v/>
      </c>
      <c r="I10" s="8">
        <f>MAX(0,C10+E10+H10-F10-G10)</f>
        <v/>
      </c>
    </row>
    <row r="11">
      <c r="A11" s="8">
        <f>'经营预测'!A6</f>
        <v/>
      </c>
      <c r="B11" s="8">
        <f>'债务假设'!A3</f>
        <v/>
      </c>
      <c r="C11" s="8">
        <f>'分层债务'!I9</f>
        <v/>
      </c>
      <c r="D11" s="8">
        <f>C11*'债务假设'!C3</f>
        <v/>
      </c>
      <c r="E11" s="8">
        <f>C11*'债务假设'!D3</f>
        <v/>
      </c>
      <c r="F11" s="8">
        <f>MIN(C11+E11,IF(AND('债务假设'!I3&lt;&gt;"",A11&gt;='债务假设'!I3),C11+E11,C11*'债务假设'!E3))</f>
        <v/>
      </c>
      <c r="G11" s="8">
        <f>MIN(MAX(0,'现金与利息'!B6-SUMIFS($D$2:$D$500,$A$2:$A$500,A11)-SUMIFS($F$2:$F$500,$A$2:$A$500,A11)-SUM(G10:G10)),MAX(0,C11+E11-F11))</f>
        <v/>
      </c>
      <c r="H11" s="8">
        <f>'债务假设'!H3*0</f>
        <v/>
      </c>
      <c r="I11" s="8">
        <f>MAX(0,C11+E11+H11-F11-G11)</f>
        <v/>
      </c>
    </row>
    <row r="12">
      <c r="A12" s="8">
        <f>'经营预测'!A7</f>
        <v/>
      </c>
      <c r="B12" s="8">
        <f>'债务假设'!A2</f>
        <v/>
      </c>
      <c r="C12" s="8">
        <f>'分层债务'!I10</f>
        <v/>
      </c>
      <c r="D12" s="8">
        <f>C12*'债务假设'!C2</f>
        <v/>
      </c>
      <c r="E12" s="8">
        <f>C12*'债务假设'!D2</f>
        <v/>
      </c>
      <c r="F12" s="8">
        <f>MIN(C12+E12,IF(AND('债务假设'!I2&lt;&gt;"",A12&gt;='债务假设'!I2),C12+E12,C12*'债务假设'!E2))</f>
        <v/>
      </c>
      <c r="G12" s="8">
        <f>MIN(MAX(0,'现金与利息'!B7-SUMIFS($D$2:$D$500,$A$2:$A$500,A12)-SUMIFS($F$2:$F$500,$A$2:$A$500,A12)-0),MAX(0,C12+E12-F12))</f>
        <v/>
      </c>
      <c r="H12" s="8">
        <f>MIN(MAX(0,SUMIFS($D$2:$D$500,$A$2:$A$500,A12)+SUMIFS($F$2:$F$500,$A$2:$A$500,A12)-'现金与利息'!B7),MAX(0,'债务假设'!H2-C12-E12))</f>
        <v/>
      </c>
      <c r="I12" s="8">
        <f>MAX(0,C12+E12+H12-F12-G12)</f>
        <v/>
      </c>
    </row>
    <row r="13">
      <c r="A13" s="8">
        <f>'经营预测'!A7</f>
        <v/>
      </c>
      <c r="B13" s="8">
        <f>'债务假设'!A3</f>
        <v/>
      </c>
      <c r="C13" s="8">
        <f>'分层债务'!I11</f>
        <v/>
      </c>
      <c r="D13" s="8">
        <f>C13*'债务假设'!C3</f>
        <v/>
      </c>
      <c r="E13" s="8">
        <f>C13*'债务假设'!D3</f>
        <v/>
      </c>
      <c r="F13" s="8">
        <f>MIN(C13+E13,IF(AND('债务假设'!I3&lt;&gt;"",A13&gt;='债务假设'!I3),C13+E13,C13*'债务假设'!E3))</f>
        <v/>
      </c>
      <c r="G13" s="8">
        <f>MIN(MAX(0,'现金与利息'!B7-SUMIFS($D$2:$D$500,$A$2:$A$500,A13)-SUMIFS($F$2:$F$500,$A$2:$A$500,A13)-SUM(G12:G12)),MAX(0,C13+E13-F13))</f>
        <v/>
      </c>
      <c r="H13" s="8">
        <f>'债务假设'!H3*0</f>
        <v/>
      </c>
      <c r="I13" s="8">
        <f>MAX(0,C13+E13+H13-F13-G13)</f>
        <v/>
      </c>
    </row>
    <row r="14">
      <c r="A14" s="8">
        <f>'经营预测'!A8</f>
        <v/>
      </c>
      <c r="B14" s="8">
        <f>'债务假设'!A2</f>
        <v/>
      </c>
      <c r="C14" s="8">
        <f>'分层债务'!I12</f>
        <v/>
      </c>
      <c r="D14" s="8">
        <f>C14*'债务假设'!C2</f>
        <v/>
      </c>
      <c r="E14" s="8">
        <f>C14*'债务假设'!D2</f>
        <v/>
      </c>
      <c r="F14" s="8">
        <f>MIN(C14+E14,IF(AND('债务假设'!I2&lt;&gt;"",A14&gt;='债务假设'!I2),C14+E14,C14*'债务假设'!E2))</f>
        <v/>
      </c>
      <c r="G14" s="8">
        <f>MIN(MAX(0,'现金与利息'!B8-SUMIFS($D$2:$D$500,$A$2:$A$500,A14)-SUMIFS($F$2:$F$500,$A$2:$A$500,A14)-0),MAX(0,C14+E14-F14))</f>
        <v/>
      </c>
      <c r="H14" s="8">
        <f>MIN(MAX(0,SUMIFS($D$2:$D$500,$A$2:$A$500,A14)+SUMIFS($F$2:$F$500,$A$2:$A$500,A14)-'现金与利息'!B8),MAX(0,'债务假设'!H2-C14-E14))</f>
        <v/>
      </c>
      <c r="I14" s="8">
        <f>MAX(0,C14+E14+H14-F14-G14)</f>
        <v/>
      </c>
    </row>
    <row r="15">
      <c r="A15" s="8">
        <f>'经营预测'!A8</f>
        <v/>
      </c>
      <c r="B15" s="8">
        <f>'债务假设'!A3</f>
        <v/>
      </c>
      <c r="C15" s="8">
        <f>'分层债务'!I13</f>
        <v/>
      </c>
      <c r="D15" s="8">
        <f>C15*'债务假设'!C3</f>
        <v/>
      </c>
      <c r="E15" s="8">
        <f>C15*'债务假设'!D3</f>
        <v/>
      </c>
      <c r="F15" s="8">
        <f>MIN(C15+E15,IF(AND('债务假设'!I3&lt;&gt;"",A15&gt;='债务假设'!I3),C15+E15,C15*'债务假设'!E3))</f>
        <v/>
      </c>
      <c r="G15" s="8">
        <f>MIN(MAX(0,'现金与利息'!B8-SUMIFS($D$2:$D$500,$A$2:$A$500,A15)-SUMIFS($F$2:$F$500,$A$2:$A$500,A15)-SUM(G14:G14)),MAX(0,C15+E15-F15))</f>
        <v/>
      </c>
      <c r="H15" s="8">
        <f>'债务假设'!H3*0</f>
        <v/>
      </c>
      <c r="I15" s="8">
        <f>MAX(0,C15+E15+H15-F15-G15)</f>
        <v/>
      </c>
    </row>
  </sheetData>
  <autoFilter ref="A1:I15"/>
  <printOptions horizontalCentered="1"/>
  <pageMargins left="0.25" right="0.25" top="0.4" bottom="0.4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  <col width="22" customWidth="1" min="13" max="13"/>
    <col width="16" customWidth="1" min="14" max="14"/>
  </cols>
  <sheetData>
    <row r="1">
      <c r="A1" s="3" t="inlineStr">
        <is>
          <t>年度</t>
        </is>
      </c>
      <c r="B1" s="3" t="inlineStr">
        <is>
          <t>利息前现金</t>
        </is>
      </c>
      <c r="C1" s="3" t="inlineStr">
        <is>
          <t>现金利息</t>
        </is>
      </c>
      <c r="D1" s="3" t="inlineStr">
        <is>
          <t>PIK利息</t>
        </is>
      </c>
      <c r="E1" s="3" t="inlineStr">
        <is>
          <t>强制摊还</t>
        </is>
      </c>
      <c r="F1" s="3" t="inlineStr">
        <is>
          <t>现金扫款</t>
        </is>
      </c>
      <c r="G1" s="3" t="inlineStr">
        <is>
          <t>循环额度提款</t>
        </is>
      </c>
      <c r="H1" s="3" t="inlineStr">
        <is>
          <t>期末债务</t>
        </is>
      </c>
      <c r="I1" s="3" t="inlineStr">
        <is>
          <t>最低现金</t>
        </is>
      </c>
      <c r="J1" s="3" t="inlineStr">
        <is>
          <t>期末现金</t>
        </is>
      </c>
      <c r="K1" s="3" t="inlineStr">
        <is>
          <t>期末净债务</t>
        </is>
      </c>
      <c r="L1" s="3" t="inlineStr">
        <is>
          <t>流动性检查</t>
        </is>
      </c>
      <c r="M1" s="3" t="inlineStr">
        <is>
          <t>已实现财务投资人分红</t>
        </is>
      </c>
      <c r="N1" s="3" t="inlineStr">
        <is>
          <t>分红缺口</t>
        </is>
      </c>
    </row>
    <row r="2">
      <c r="A2" s="8">
        <f>'经营预测'!A2</f>
        <v/>
      </c>
      <c r="B2" s="8">
        <f>'经营预测'!J2</f>
        <v/>
      </c>
      <c r="C2" s="8">
        <f>SUM('分层债务'!D2:D3)</f>
        <v/>
      </c>
      <c r="D2" s="8">
        <f>SUM('分层债务'!E2:E3)</f>
        <v/>
      </c>
      <c r="E2" s="8">
        <f>SUM('分层债务'!F2:F3)</f>
        <v/>
      </c>
      <c r="F2" s="8">
        <f>SUM('分层债务'!G2:G3)</f>
        <v/>
      </c>
      <c r="G2" s="8">
        <f>SUM('分层债务'!H2:H3)</f>
        <v/>
      </c>
      <c r="H2" s="8">
        <f>SUM('分层债务'!I2:I3)</f>
        <v/>
      </c>
      <c r="I2" s="8">
        <f>'交易与融资假设'!B7</f>
        <v/>
      </c>
      <c r="J2" s="8">
        <f>I2+MAX(0,B2-C2-E2-F2+G2)-M2/('Sources &amp; Uses'!D5/('Sources &amp; Uses'!D5+'交易与融资假设'!B8))</f>
        <v/>
      </c>
      <c r="K2" s="8">
        <f>H2-J2</f>
        <v/>
      </c>
      <c r="L2" s="8">
        <f>IF(B2-C2+G2&gt;=E2,"PASS","FAIL")</f>
        <v/>
      </c>
      <c r="M2" s="8">
        <f>MIN('经营预测'!I2,MAX(0,B2-C2-E2-F2+G2)*('Sources &amp; Uses'!D5/('Sources &amp; Uses'!D5+'交易与融资假设'!B8)))</f>
        <v/>
      </c>
      <c r="N2" s="8">
        <f>'经营预测'!I2-M2</f>
        <v/>
      </c>
    </row>
    <row r="3">
      <c r="A3" s="8">
        <f>'经营预测'!A3</f>
        <v/>
      </c>
      <c r="B3" s="8">
        <f>'经营预测'!J3+MAX(0,J2-I2)</f>
        <v/>
      </c>
      <c r="C3" s="8">
        <f>SUM('分层债务'!D4:D5)</f>
        <v/>
      </c>
      <c r="D3" s="8">
        <f>SUM('分层债务'!E4:E5)</f>
        <v/>
      </c>
      <c r="E3" s="8">
        <f>SUM('分层债务'!F4:F5)</f>
        <v/>
      </c>
      <c r="F3" s="8">
        <f>SUM('分层债务'!G4:G5)</f>
        <v/>
      </c>
      <c r="G3" s="8">
        <f>SUM('分层债务'!H4:H5)</f>
        <v/>
      </c>
      <c r="H3" s="8">
        <f>SUM('分层债务'!I4:I5)</f>
        <v/>
      </c>
      <c r="I3" s="8">
        <f>'交易与融资假设'!B7</f>
        <v/>
      </c>
      <c r="J3" s="8">
        <f>I3+MAX(0,B3-C3-E3-F3+G3)-M3/('Sources &amp; Uses'!D5/('Sources &amp; Uses'!D5+'交易与融资假设'!B8))</f>
        <v/>
      </c>
      <c r="K3" s="8">
        <f>H3-J3</f>
        <v/>
      </c>
      <c r="L3" s="8">
        <f>IF(B3-C3+G3&gt;=E3,"PASS","FAIL")</f>
        <v/>
      </c>
      <c r="M3" s="8">
        <f>MIN('经营预测'!I3,MAX(0,B3-C3-E3-F3+G3)*('Sources &amp; Uses'!D5/('Sources &amp; Uses'!D5+'交易与融资假设'!B8)))</f>
        <v/>
      </c>
      <c r="N3" s="8">
        <f>'经营预测'!I3-M3</f>
        <v/>
      </c>
    </row>
    <row r="4">
      <c r="A4" s="8">
        <f>'经营预测'!A4</f>
        <v/>
      </c>
      <c r="B4" s="8">
        <f>'经营预测'!J4+MAX(0,J3-I3)</f>
        <v/>
      </c>
      <c r="C4" s="8">
        <f>SUM('分层债务'!D6:D7)</f>
        <v/>
      </c>
      <c r="D4" s="8">
        <f>SUM('分层债务'!E6:E7)</f>
        <v/>
      </c>
      <c r="E4" s="8">
        <f>SUM('分层债务'!F6:F7)</f>
        <v/>
      </c>
      <c r="F4" s="8">
        <f>SUM('分层债务'!G6:G7)</f>
        <v/>
      </c>
      <c r="G4" s="8">
        <f>SUM('分层债务'!H6:H7)</f>
        <v/>
      </c>
      <c r="H4" s="8">
        <f>SUM('分层债务'!I6:I7)</f>
        <v/>
      </c>
      <c r="I4" s="8">
        <f>'交易与融资假设'!B7</f>
        <v/>
      </c>
      <c r="J4" s="8">
        <f>I4+MAX(0,B4-C4-E4-F4+G4)-M4/('Sources &amp; Uses'!D5/('Sources &amp; Uses'!D5+'交易与融资假设'!B8))</f>
        <v/>
      </c>
      <c r="K4" s="8">
        <f>H4-J4</f>
        <v/>
      </c>
      <c r="L4" s="8">
        <f>IF(B4-C4+G4&gt;=E4,"PASS","FAIL")</f>
        <v/>
      </c>
      <c r="M4" s="8">
        <f>MIN('经营预测'!I4,MAX(0,B4-C4-E4-F4+G4)*('Sources &amp; Uses'!D5/('Sources &amp; Uses'!D5+'交易与融资假设'!B8)))</f>
        <v/>
      </c>
      <c r="N4" s="8">
        <f>'经营预测'!I4-M4</f>
        <v/>
      </c>
    </row>
    <row r="5">
      <c r="A5" s="8">
        <f>'经营预测'!A5</f>
        <v/>
      </c>
      <c r="B5" s="8">
        <f>'经营预测'!J5+MAX(0,J4-I4)</f>
        <v/>
      </c>
      <c r="C5" s="8">
        <f>SUM('分层债务'!D8:D9)</f>
        <v/>
      </c>
      <c r="D5" s="8">
        <f>SUM('分层债务'!E8:E9)</f>
        <v/>
      </c>
      <c r="E5" s="8">
        <f>SUM('分层债务'!F8:F9)</f>
        <v/>
      </c>
      <c r="F5" s="8">
        <f>SUM('分层债务'!G8:G9)</f>
        <v/>
      </c>
      <c r="G5" s="8">
        <f>SUM('分层债务'!H8:H9)</f>
        <v/>
      </c>
      <c r="H5" s="8">
        <f>SUM('分层债务'!I8:I9)</f>
        <v/>
      </c>
      <c r="I5" s="8">
        <f>'交易与融资假设'!B7</f>
        <v/>
      </c>
      <c r="J5" s="8">
        <f>I5+MAX(0,B5-C5-E5-F5+G5)-M5/('Sources &amp; Uses'!D5/('Sources &amp; Uses'!D5+'交易与融资假设'!B8))</f>
        <v/>
      </c>
      <c r="K5" s="8">
        <f>H5-J5</f>
        <v/>
      </c>
      <c r="L5" s="8">
        <f>IF(B5-C5+G5&gt;=E5,"PASS","FAIL")</f>
        <v/>
      </c>
      <c r="M5" s="8">
        <f>MIN('经营预测'!I5,MAX(0,B5-C5-E5-F5+G5)*('Sources &amp; Uses'!D5/('Sources &amp; Uses'!D5+'交易与融资假设'!B8)))</f>
        <v/>
      </c>
      <c r="N5" s="8">
        <f>'经营预测'!I5-M5</f>
        <v/>
      </c>
    </row>
    <row r="6">
      <c r="A6" s="8">
        <f>'经营预测'!A6</f>
        <v/>
      </c>
      <c r="B6" s="8">
        <f>'经营预测'!J6+MAX(0,J5-I5)</f>
        <v/>
      </c>
      <c r="C6" s="8">
        <f>SUM('分层债务'!D10:D11)</f>
        <v/>
      </c>
      <c r="D6" s="8">
        <f>SUM('分层债务'!E10:E11)</f>
        <v/>
      </c>
      <c r="E6" s="8">
        <f>SUM('分层债务'!F10:F11)</f>
        <v/>
      </c>
      <c r="F6" s="8">
        <f>SUM('分层债务'!G10:G11)</f>
        <v/>
      </c>
      <c r="G6" s="8">
        <f>SUM('分层债务'!H10:H11)</f>
        <v/>
      </c>
      <c r="H6" s="8">
        <f>SUM('分层债务'!I10:I11)</f>
        <v/>
      </c>
      <c r="I6" s="8">
        <f>'交易与融资假设'!B7</f>
        <v/>
      </c>
      <c r="J6" s="8">
        <f>I6+MAX(0,B6-C6-E6-F6+G6)-M6/('Sources &amp; Uses'!D5/('Sources &amp; Uses'!D5+'交易与融资假设'!B8))</f>
        <v/>
      </c>
      <c r="K6" s="8">
        <f>H6-J6</f>
        <v/>
      </c>
      <c r="L6" s="8">
        <f>IF(B6-C6+G6&gt;=E6,"PASS","FAIL")</f>
        <v/>
      </c>
      <c r="M6" s="8">
        <f>MIN('经营预测'!I6,MAX(0,B6-C6-E6-F6+G6)*('Sources &amp; Uses'!D5/('Sources &amp; Uses'!D5+'交易与融资假设'!B8)))</f>
        <v/>
      </c>
      <c r="N6" s="8">
        <f>'经营预测'!I6-M6</f>
        <v/>
      </c>
    </row>
    <row r="7">
      <c r="A7" s="8">
        <f>'经营预测'!A7</f>
        <v/>
      </c>
      <c r="B7" s="8">
        <f>'经营预测'!J7+MAX(0,J6-I6)</f>
        <v/>
      </c>
      <c r="C7" s="8">
        <f>SUM('分层债务'!D12:D13)</f>
        <v/>
      </c>
      <c r="D7" s="8">
        <f>SUM('分层债务'!E12:E13)</f>
        <v/>
      </c>
      <c r="E7" s="8">
        <f>SUM('分层债务'!F12:F13)</f>
        <v/>
      </c>
      <c r="F7" s="8">
        <f>SUM('分层债务'!G12:G13)</f>
        <v/>
      </c>
      <c r="G7" s="8">
        <f>SUM('分层债务'!H12:H13)</f>
        <v/>
      </c>
      <c r="H7" s="8">
        <f>SUM('分层债务'!I12:I13)</f>
        <v/>
      </c>
      <c r="I7" s="8">
        <f>'交易与融资假设'!B7</f>
        <v/>
      </c>
      <c r="J7" s="8">
        <f>I7+MAX(0,B7-C7-E7-F7+G7)-M7/('Sources &amp; Uses'!D5/('Sources &amp; Uses'!D5+'交易与融资假设'!B8))</f>
        <v/>
      </c>
      <c r="K7" s="8">
        <f>H7-J7</f>
        <v/>
      </c>
      <c r="L7" s="8">
        <f>IF(B7-C7+G7&gt;=E7,"PASS","FAIL")</f>
        <v/>
      </c>
      <c r="M7" s="8">
        <f>MIN('经营预测'!I7,MAX(0,B7-C7-E7-F7+G7)*('Sources &amp; Uses'!D5/('Sources &amp; Uses'!D5+'交易与融资假设'!B8)))</f>
        <v/>
      </c>
      <c r="N7" s="8">
        <f>'经营预测'!I7-M7</f>
        <v/>
      </c>
    </row>
    <row r="8">
      <c r="A8" s="8">
        <f>'经营预测'!A8</f>
        <v/>
      </c>
      <c r="B8" s="8">
        <f>'经营预测'!J8+MAX(0,J7-I7)</f>
        <v/>
      </c>
      <c r="C8" s="8">
        <f>SUM('分层债务'!D14:D15)</f>
        <v/>
      </c>
      <c r="D8" s="8">
        <f>SUM('分层债务'!E14:E15)</f>
        <v/>
      </c>
      <c r="E8" s="8">
        <f>SUM('分层债务'!F14:F15)</f>
        <v/>
      </c>
      <c r="F8" s="8">
        <f>SUM('分层债务'!G14:G15)</f>
        <v/>
      </c>
      <c r="G8" s="8">
        <f>SUM('分层债务'!H14:H15)</f>
        <v/>
      </c>
      <c r="H8" s="8">
        <f>SUM('分层债务'!I14:I15)</f>
        <v/>
      </c>
      <c r="I8" s="8">
        <f>'交易与融资假设'!B7</f>
        <v/>
      </c>
      <c r="J8" s="8">
        <f>I8+MAX(0,B8-C8-E8-F8+G8)-M8/('Sources &amp; Uses'!D5/('Sources &amp; Uses'!D5+'交易与融资假设'!B8))</f>
        <v/>
      </c>
      <c r="K8" s="8">
        <f>H8-J8</f>
        <v/>
      </c>
      <c r="L8" s="8">
        <f>IF(B8-C8+G8&gt;=E8,"PASS","FAIL")</f>
        <v/>
      </c>
      <c r="M8" s="8">
        <f>MIN('经营预测'!I8,MAX(0,B8-C8-E8-F8+G8)*('Sources &amp; Uses'!D5/('Sources &amp; Uses'!D5+'交易与融资假设'!B8)))</f>
        <v/>
      </c>
      <c r="N8" s="8">
        <f>'经营预测'!I8-M8</f>
        <v/>
      </c>
    </row>
  </sheetData>
  <autoFilter ref="A1:N8"/>
  <printOptions horizontalCentered="1"/>
  <pageMargins left="0.25" right="0.25" top="0.4" bottom="0.4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5" customWidth="1" min="8" max="8"/>
    <col width="16" customWidth="1" min="9" max="9"/>
    <col width="17" customWidth="1" min="10" max="10"/>
    <col width="20" customWidth="1" min="11" max="11"/>
    <col width="16" customWidth="1" min="12" max="12"/>
    <col width="16" customWidth="1" min="13" max="13"/>
    <col width="13" customWidth="1" min="14" max="14"/>
    <col width="14" customWidth="1" min="15" max="15"/>
    <col width="14" customWidth="1" min="16" max="16"/>
  </cols>
  <sheetData>
    <row r="1">
      <c r="A1" s="3" t="inlineStr">
        <is>
          <t>退出年</t>
        </is>
      </c>
      <c r="B1" s="3" t="inlineStr">
        <is>
          <t>退出倍数</t>
        </is>
      </c>
      <c r="C1" s="3" t="inlineStr">
        <is>
          <t>退出EBITDA</t>
        </is>
      </c>
      <c r="D1" s="3" t="inlineStr">
        <is>
          <t>企业价值</t>
        </is>
      </c>
      <c r="E1" s="3" t="inlineStr">
        <is>
          <t>期末债务</t>
        </is>
      </c>
      <c r="F1" s="3" t="inlineStr">
        <is>
          <t>期末现金</t>
        </is>
      </c>
      <c r="G1" s="3" t="inlineStr">
        <is>
          <t>退出债务类调整</t>
        </is>
      </c>
      <c r="H1" s="3" t="inlineStr">
        <is>
          <t>退出费用</t>
        </is>
      </c>
      <c r="I1" s="3" t="inlineStr">
        <is>
          <t>股权价值</t>
        </is>
      </c>
      <c r="J1" s="3" t="inlineStr">
        <is>
          <t>财务投资人持股</t>
        </is>
      </c>
      <c r="K1" s="3" t="inlineStr">
        <is>
          <t>财务投资人退出所得</t>
        </is>
      </c>
      <c r="L1" s="3" t="inlineStr">
        <is>
          <t>累计投入</t>
        </is>
      </c>
      <c r="M1" s="3" t="inlineStr">
        <is>
          <t>利润</t>
        </is>
      </c>
      <c r="N1" s="3" t="inlineStr">
        <is>
          <t>MOIC</t>
        </is>
      </c>
      <c r="O1" s="3" t="inlineStr">
        <is>
          <t>简化IRR</t>
        </is>
      </c>
      <c r="P1" s="3" t="inlineStr">
        <is>
          <t>XIRR</t>
        </is>
      </c>
    </row>
    <row r="2">
      <c r="A2" s="9" t="n">
        <v>3</v>
      </c>
      <c r="B2" s="11" t="n">
        <v>7</v>
      </c>
      <c r="C2" s="8">
        <f>'经营预测'!B4</f>
        <v/>
      </c>
      <c r="D2" s="8">
        <f>B2*C2</f>
        <v/>
      </c>
      <c r="E2" s="8">
        <f>'现金与利息'!H4</f>
        <v/>
      </c>
      <c r="F2" s="8">
        <f>'现金与利息'!J4</f>
        <v/>
      </c>
      <c r="G2" s="8">
        <f>'交易与融资假设'!B11</f>
        <v/>
      </c>
      <c r="H2" s="8">
        <f>D2*'交易与融资假设'!B10</f>
        <v/>
      </c>
      <c r="I2" s="8">
        <f>MAX(0,D2-E2+F2-G2-H2)</f>
        <v/>
      </c>
      <c r="J2" s="12">
        <f>'Sources &amp; Uses'!D5/('Sources &amp; Uses'!D5+'交易与融资假设'!B8)</f>
        <v/>
      </c>
      <c r="K2" s="8">
        <f>I2*J2</f>
        <v/>
      </c>
      <c r="L2" s="8">
        <f>'Sources &amp; Uses'!D5+SUM('经营预测'!H$2:INDEX('经营预测'!H:H,A2+1))</f>
        <v/>
      </c>
      <c r="M2" s="8">
        <f>K2-L2+SUM('现金与利息'!M$2:INDEX('现金与利息'!M:M,A2+1))</f>
        <v/>
      </c>
      <c r="N2" s="13">
        <f>IFERROR((K2+SUM('现金与利息'!M$2:INDEX('现金与利息'!M:M,A2+1)))/L2,"")</f>
        <v/>
      </c>
      <c r="O2" s="12">
        <f>IFERROR(N2^(1/A2)-1,"")</f>
        <v/>
      </c>
      <c r="P2" s="12">
        <f>IFERROR(XIRR('投资人现金流'!C3:J3,'投资人现金流'!C2:J2),"")</f>
        <v/>
      </c>
    </row>
    <row r="3">
      <c r="A3" s="9" t="n">
        <v>3</v>
      </c>
      <c r="B3" s="11" t="n">
        <v>7.625</v>
      </c>
      <c r="C3" s="8">
        <f>'经营预测'!B4</f>
        <v/>
      </c>
      <c r="D3" s="8">
        <f>B3*C3</f>
        <v/>
      </c>
      <c r="E3" s="8">
        <f>'现金与利息'!H4</f>
        <v/>
      </c>
      <c r="F3" s="8">
        <f>'现金与利息'!J4</f>
        <v/>
      </c>
      <c r="G3" s="8">
        <f>'交易与融资假设'!B11</f>
        <v/>
      </c>
      <c r="H3" s="8">
        <f>D3*'交易与融资假设'!B10</f>
        <v/>
      </c>
      <c r="I3" s="8">
        <f>MAX(0,D3-E3+F3-G3-H3)</f>
        <v/>
      </c>
      <c r="J3" s="12">
        <f>'Sources &amp; Uses'!D5/('Sources &amp; Uses'!D5+'交易与融资假设'!B8)</f>
        <v/>
      </c>
      <c r="K3" s="8">
        <f>I3*J3</f>
        <v/>
      </c>
      <c r="L3" s="8">
        <f>'Sources &amp; Uses'!D5+SUM('经营预测'!H$2:INDEX('经营预测'!H:H,A3+1))</f>
        <v/>
      </c>
      <c r="M3" s="8">
        <f>K3-L3+SUM('现金与利息'!M$2:INDEX('现金与利息'!M:M,A3+1))</f>
        <v/>
      </c>
      <c r="N3" s="13">
        <f>IFERROR((K3+SUM('现金与利息'!M$2:INDEX('现金与利息'!M:M,A3+1)))/L3,"")</f>
        <v/>
      </c>
      <c r="O3" s="12">
        <f>IFERROR(N3^(1/A3)-1,"")</f>
        <v/>
      </c>
      <c r="P3" s="12">
        <f>IFERROR(XIRR('投资人现金流'!C5:J5,'投资人现金流'!C4:J4),"")</f>
        <v/>
      </c>
    </row>
    <row r="4">
      <c r="A4" s="9" t="n">
        <v>3</v>
      </c>
      <c r="B4" s="11" t="n">
        <v>8.5</v>
      </c>
      <c r="C4" s="8">
        <f>'经营预测'!B4</f>
        <v/>
      </c>
      <c r="D4" s="8">
        <f>B4*C4</f>
        <v/>
      </c>
      <c r="E4" s="8">
        <f>'现金与利息'!H4</f>
        <v/>
      </c>
      <c r="F4" s="8">
        <f>'现金与利息'!J4</f>
        <v/>
      </c>
      <c r="G4" s="8">
        <f>'交易与融资假设'!B11</f>
        <v/>
      </c>
      <c r="H4" s="8">
        <f>D4*'交易与融资假设'!B10</f>
        <v/>
      </c>
      <c r="I4" s="8">
        <f>MAX(0,D4-E4+F4-G4-H4)</f>
        <v/>
      </c>
      <c r="J4" s="12">
        <f>'Sources &amp; Uses'!D5/('Sources &amp; Uses'!D5+'交易与融资假设'!B8)</f>
        <v/>
      </c>
      <c r="K4" s="8">
        <f>I4*J4</f>
        <v/>
      </c>
      <c r="L4" s="8">
        <f>'Sources &amp; Uses'!D5+SUM('经营预测'!H$2:INDEX('经营预测'!H:H,A4+1))</f>
        <v/>
      </c>
      <c r="M4" s="8">
        <f>K4-L4+SUM('现金与利息'!M$2:INDEX('现金与利息'!M:M,A4+1))</f>
        <v/>
      </c>
      <c r="N4" s="13">
        <f>IFERROR((K4+SUM('现金与利息'!M$2:INDEX('现金与利息'!M:M,A4+1)))/L4,"")</f>
        <v/>
      </c>
      <c r="O4" s="12">
        <f>IFERROR(N4^(1/A4)-1,"")</f>
        <v/>
      </c>
      <c r="P4" s="12">
        <f>IFERROR(XIRR('投资人现金流'!C7:J7,'投资人现金流'!C6:J6),"")</f>
        <v/>
      </c>
    </row>
    <row r="5">
      <c r="A5" s="9" t="n">
        <v>4</v>
      </c>
      <c r="B5" s="11" t="n">
        <v>7</v>
      </c>
      <c r="C5" s="8">
        <f>'经营预测'!B5</f>
        <v/>
      </c>
      <c r="D5" s="8">
        <f>B5*C5</f>
        <v/>
      </c>
      <c r="E5" s="8">
        <f>'现金与利息'!H5</f>
        <v/>
      </c>
      <c r="F5" s="8">
        <f>'现金与利息'!J5</f>
        <v/>
      </c>
      <c r="G5" s="8">
        <f>'交易与融资假设'!B11</f>
        <v/>
      </c>
      <c r="H5" s="8">
        <f>D5*'交易与融资假设'!B10</f>
        <v/>
      </c>
      <c r="I5" s="8">
        <f>MAX(0,D5-E5+F5-G5-H5)</f>
        <v/>
      </c>
      <c r="J5" s="12">
        <f>'Sources &amp; Uses'!D5/('Sources &amp; Uses'!D5+'交易与融资假设'!B8)</f>
        <v/>
      </c>
      <c r="K5" s="8">
        <f>I5*J5</f>
        <v/>
      </c>
      <c r="L5" s="8">
        <f>'Sources &amp; Uses'!D5+SUM('经营预测'!H$2:INDEX('经营预测'!H:H,A5+1))</f>
        <v/>
      </c>
      <c r="M5" s="8">
        <f>K5-L5+SUM('现金与利息'!M$2:INDEX('现金与利息'!M:M,A5+1))</f>
        <v/>
      </c>
      <c r="N5" s="13">
        <f>IFERROR((K5+SUM('现金与利息'!M$2:INDEX('现金与利息'!M:M,A5+1)))/L5,"")</f>
        <v/>
      </c>
      <c r="O5" s="12">
        <f>IFERROR(N5^(1/A5)-1,"")</f>
        <v/>
      </c>
      <c r="P5" s="12">
        <f>IFERROR(XIRR('投资人现金流'!C9:J9,'投资人现金流'!C8:J8),"")</f>
        <v/>
      </c>
    </row>
    <row r="6">
      <c r="A6" s="9" t="n">
        <v>4</v>
      </c>
      <c r="B6" s="11" t="n">
        <v>7.625</v>
      </c>
      <c r="C6" s="8">
        <f>'经营预测'!B5</f>
        <v/>
      </c>
      <c r="D6" s="8">
        <f>B6*C6</f>
        <v/>
      </c>
      <c r="E6" s="8">
        <f>'现金与利息'!H5</f>
        <v/>
      </c>
      <c r="F6" s="8">
        <f>'现金与利息'!J5</f>
        <v/>
      </c>
      <c r="G6" s="8">
        <f>'交易与融资假设'!B11</f>
        <v/>
      </c>
      <c r="H6" s="8">
        <f>D6*'交易与融资假设'!B10</f>
        <v/>
      </c>
      <c r="I6" s="8">
        <f>MAX(0,D6-E6+F6-G6-H6)</f>
        <v/>
      </c>
      <c r="J6" s="12">
        <f>'Sources &amp; Uses'!D5/('Sources &amp; Uses'!D5+'交易与融资假设'!B8)</f>
        <v/>
      </c>
      <c r="K6" s="8">
        <f>I6*J6</f>
        <v/>
      </c>
      <c r="L6" s="8">
        <f>'Sources &amp; Uses'!D5+SUM('经营预测'!H$2:INDEX('经营预测'!H:H,A6+1))</f>
        <v/>
      </c>
      <c r="M6" s="8">
        <f>K6-L6+SUM('现金与利息'!M$2:INDEX('现金与利息'!M:M,A6+1))</f>
        <v/>
      </c>
      <c r="N6" s="13">
        <f>IFERROR((K6+SUM('现金与利息'!M$2:INDEX('现金与利息'!M:M,A6+1)))/L6,"")</f>
        <v/>
      </c>
      <c r="O6" s="12">
        <f>IFERROR(N6^(1/A6)-1,"")</f>
        <v/>
      </c>
      <c r="P6" s="12">
        <f>IFERROR(XIRR('投资人现金流'!C11:J11,'投资人现金流'!C10:J10),"")</f>
        <v/>
      </c>
    </row>
    <row r="7">
      <c r="A7" s="9" t="n">
        <v>4</v>
      </c>
      <c r="B7" s="11" t="n">
        <v>8.5</v>
      </c>
      <c r="C7" s="8">
        <f>'经营预测'!B5</f>
        <v/>
      </c>
      <c r="D7" s="8">
        <f>B7*C7</f>
        <v/>
      </c>
      <c r="E7" s="8">
        <f>'现金与利息'!H5</f>
        <v/>
      </c>
      <c r="F7" s="8">
        <f>'现金与利息'!J5</f>
        <v/>
      </c>
      <c r="G7" s="8">
        <f>'交易与融资假设'!B11</f>
        <v/>
      </c>
      <c r="H7" s="8">
        <f>D7*'交易与融资假设'!B10</f>
        <v/>
      </c>
      <c r="I7" s="8">
        <f>MAX(0,D7-E7+F7-G7-H7)</f>
        <v/>
      </c>
      <c r="J7" s="12">
        <f>'Sources &amp; Uses'!D5/('Sources &amp; Uses'!D5+'交易与融资假设'!B8)</f>
        <v/>
      </c>
      <c r="K7" s="8">
        <f>I7*J7</f>
        <v/>
      </c>
      <c r="L7" s="8">
        <f>'Sources &amp; Uses'!D5+SUM('经营预测'!H$2:INDEX('经营预测'!H:H,A7+1))</f>
        <v/>
      </c>
      <c r="M7" s="8">
        <f>K7-L7+SUM('现金与利息'!M$2:INDEX('现金与利息'!M:M,A7+1))</f>
        <v/>
      </c>
      <c r="N7" s="13">
        <f>IFERROR((K7+SUM('现金与利息'!M$2:INDEX('现金与利息'!M:M,A7+1)))/L7,"")</f>
        <v/>
      </c>
      <c r="O7" s="12">
        <f>IFERROR(N7^(1/A7)-1,"")</f>
        <v/>
      </c>
      <c r="P7" s="12">
        <f>IFERROR(XIRR('投资人现金流'!C13:J13,'投资人现金流'!C12:J12),"")</f>
        <v/>
      </c>
    </row>
    <row r="8">
      <c r="A8" s="9" t="n">
        <v>5</v>
      </c>
      <c r="B8" s="11" t="n">
        <v>7</v>
      </c>
      <c r="C8" s="8">
        <f>'经营预测'!B6</f>
        <v/>
      </c>
      <c r="D8" s="8">
        <f>B8*C8</f>
        <v/>
      </c>
      <c r="E8" s="8">
        <f>'现金与利息'!H6</f>
        <v/>
      </c>
      <c r="F8" s="8">
        <f>'现金与利息'!J6</f>
        <v/>
      </c>
      <c r="G8" s="8">
        <f>'交易与融资假设'!B11</f>
        <v/>
      </c>
      <c r="H8" s="8">
        <f>D8*'交易与融资假设'!B10</f>
        <v/>
      </c>
      <c r="I8" s="8">
        <f>MAX(0,D8-E8+F8-G8-H8)</f>
        <v/>
      </c>
      <c r="J8" s="12">
        <f>'Sources &amp; Uses'!D5/('Sources &amp; Uses'!D5+'交易与融资假设'!B8)</f>
        <v/>
      </c>
      <c r="K8" s="8">
        <f>I8*J8</f>
        <v/>
      </c>
      <c r="L8" s="8">
        <f>'Sources &amp; Uses'!D5+SUM('经营预测'!H$2:INDEX('经营预测'!H:H,A8+1))</f>
        <v/>
      </c>
      <c r="M8" s="8">
        <f>K8-L8+SUM('现金与利息'!M$2:INDEX('现金与利息'!M:M,A8+1))</f>
        <v/>
      </c>
      <c r="N8" s="13">
        <f>IFERROR((K8+SUM('现金与利息'!M$2:INDEX('现金与利息'!M:M,A8+1)))/L8,"")</f>
        <v/>
      </c>
      <c r="O8" s="12">
        <f>IFERROR(N8^(1/A8)-1,"")</f>
        <v/>
      </c>
      <c r="P8" s="12">
        <f>IFERROR(XIRR('投资人现金流'!C15:J15,'投资人现金流'!C14:J14),"")</f>
        <v/>
      </c>
    </row>
    <row r="9">
      <c r="A9" s="9" t="n">
        <v>5</v>
      </c>
      <c r="B9" s="11" t="n">
        <v>7.625</v>
      </c>
      <c r="C9" s="8">
        <f>'经营预测'!B6</f>
        <v/>
      </c>
      <c r="D9" s="8">
        <f>B9*C9</f>
        <v/>
      </c>
      <c r="E9" s="8">
        <f>'现金与利息'!H6</f>
        <v/>
      </c>
      <c r="F9" s="8">
        <f>'现金与利息'!J6</f>
        <v/>
      </c>
      <c r="G9" s="8">
        <f>'交易与融资假设'!B11</f>
        <v/>
      </c>
      <c r="H9" s="8">
        <f>D9*'交易与融资假设'!B10</f>
        <v/>
      </c>
      <c r="I9" s="8">
        <f>MAX(0,D9-E9+F9-G9-H9)</f>
        <v/>
      </c>
      <c r="J9" s="12">
        <f>'Sources &amp; Uses'!D5/('Sources &amp; Uses'!D5+'交易与融资假设'!B8)</f>
        <v/>
      </c>
      <c r="K9" s="8">
        <f>I9*J9</f>
        <v/>
      </c>
      <c r="L9" s="8">
        <f>'Sources &amp; Uses'!D5+SUM('经营预测'!H$2:INDEX('经营预测'!H:H,A9+1))</f>
        <v/>
      </c>
      <c r="M9" s="8">
        <f>K9-L9+SUM('现金与利息'!M$2:INDEX('现金与利息'!M:M,A9+1))</f>
        <v/>
      </c>
      <c r="N9" s="13">
        <f>IFERROR((K9+SUM('现金与利息'!M$2:INDEX('现金与利息'!M:M,A9+1)))/L9,"")</f>
        <v/>
      </c>
      <c r="O9" s="12">
        <f>IFERROR(N9^(1/A9)-1,"")</f>
        <v/>
      </c>
      <c r="P9" s="12">
        <f>IFERROR(XIRR('投资人现金流'!C17:J17,'投资人现金流'!C16:J16),"")</f>
        <v/>
      </c>
    </row>
    <row r="10">
      <c r="A10" s="9" t="n">
        <v>5</v>
      </c>
      <c r="B10" s="11" t="n">
        <v>8.5</v>
      </c>
      <c r="C10" s="8">
        <f>'经营预测'!B6</f>
        <v/>
      </c>
      <c r="D10" s="8">
        <f>B10*C10</f>
        <v/>
      </c>
      <c r="E10" s="8">
        <f>'现金与利息'!H6</f>
        <v/>
      </c>
      <c r="F10" s="8">
        <f>'现金与利息'!J6</f>
        <v/>
      </c>
      <c r="G10" s="8">
        <f>'交易与融资假设'!B11</f>
        <v/>
      </c>
      <c r="H10" s="8">
        <f>D10*'交易与融资假设'!B10</f>
        <v/>
      </c>
      <c r="I10" s="8">
        <f>MAX(0,D10-E10+F10-G10-H10)</f>
        <v/>
      </c>
      <c r="J10" s="12">
        <f>'Sources &amp; Uses'!D5/('Sources &amp; Uses'!D5+'交易与融资假设'!B8)</f>
        <v/>
      </c>
      <c r="K10" s="8">
        <f>I10*J10</f>
        <v/>
      </c>
      <c r="L10" s="8">
        <f>'Sources &amp; Uses'!D5+SUM('经营预测'!H$2:INDEX('经营预测'!H:H,A10+1))</f>
        <v/>
      </c>
      <c r="M10" s="8">
        <f>K10-L10+SUM('现金与利息'!M$2:INDEX('现金与利息'!M:M,A10+1))</f>
        <v/>
      </c>
      <c r="N10" s="13">
        <f>IFERROR((K10+SUM('现金与利息'!M$2:INDEX('现金与利息'!M:M,A10+1)))/L10,"")</f>
        <v/>
      </c>
      <c r="O10" s="12">
        <f>IFERROR(N10^(1/A10)-1,"")</f>
        <v/>
      </c>
      <c r="P10" s="12">
        <f>IFERROR(XIRR('投资人现金流'!C19:J19,'投资人现金流'!C18:J18),"")</f>
        <v/>
      </c>
    </row>
    <row r="11">
      <c r="A11" s="9" t="n">
        <v>6</v>
      </c>
      <c r="B11" s="11" t="n">
        <v>7</v>
      </c>
      <c r="C11" s="8">
        <f>'经营预测'!B7</f>
        <v/>
      </c>
      <c r="D11" s="8">
        <f>B11*C11</f>
        <v/>
      </c>
      <c r="E11" s="8">
        <f>'现金与利息'!H7</f>
        <v/>
      </c>
      <c r="F11" s="8">
        <f>'现金与利息'!J7</f>
        <v/>
      </c>
      <c r="G11" s="8">
        <f>'交易与融资假设'!B11</f>
        <v/>
      </c>
      <c r="H11" s="8">
        <f>D11*'交易与融资假设'!B10</f>
        <v/>
      </c>
      <c r="I11" s="8">
        <f>MAX(0,D11-E11+F11-G11-H11)</f>
        <v/>
      </c>
      <c r="J11" s="12">
        <f>'Sources &amp; Uses'!D5/('Sources &amp; Uses'!D5+'交易与融资假设'!B8)</f>
        <v/>
      </c>
      <c r="K11" s="8">
        <f>I11*J11</f>
        <v/>
      </c>
      <c r="L11" s="8">
        <f>'Sources &amp; Uses'!D5+SUM('经营预测'!H$2:INDEX('经营预测'!H:H,A11+1))</f>
        <v/>
      </c>
      <c r="M11" s="8">
        <f>K11-L11+SUM('现金与利息'!M$2:INDEX('现金与利息'!M:M,A11+1))</f>
        <v/>
      </c>
      <c r="N11" s="13">
        <f>IFERROR((K11+SUM('现金与利息'!M$2:INDEX('现金与利息'!M:M,A11+1)))/L11,"")</f>
        <v/>
      </c>
      <c r="O11" s="12">
        <f>IFERROR(N11^(1/A11)-1,"")</f>
        <v/>
      </c>
      <c r="P11" s="12">
        <f>IFERROR(XIRR('投资人现金流'!C21:J21,'投资人现金流'!C20:J20),"")</f>
        <v/>
      </c>
    </row>
    <row r="12">
      <c r="A12" s="9" t="n">
        <v>6</v>
      </c>
      <c r="B12" s="11" t="n">
        <v>7.625</v>
      </c>
      <c r="C12" s="8">
        <f>'经营预测'!B7</f>
        <v/>
      </c>
      <c r="D12" s="8">
        <f>B12*C12</f>
        <v/>
      </c>
      <c r="E12" s="8">
        <f>'现金与利息'!H7</f>
        <v/>
      </c>
      <c r="F12" s="8">
        <f>'现金与利息'!J7</f>
        <v/>
      </c>
      <c r="G12" s="8">
        <f>'交易与融资假设'!B11</f>
        <v/>
      </c>
      <c r="H12" s="8">
        <f>D12*'交易与融资假设'!B10</f>
        <v/>
      </c>
      <c r="I12" s="8">
        <f>MAX(0,D12-E12+F12-G12-H12)</f>
        <v/>
      </c>
      <c r="J12" s="12">
        <f>'Sources &amp; Uses'!D5/('Sources &amp; Uses'!D5+'交易与融资假设'!B8)</f>
        <v/>
      </c>
      <c r="K12" s="8">
        <f>I12*J12</f>
        <v/>
      </c>
      <c r="L12" s="8">
        <f>'Sources &amp; Uses'!D5+SUM('经营预测'!H$2:INDEX('经营预测'!H:H,A12+1))</f>
        <v/>
      </c>
      <c r="M12" s="8">
        <f>K12-L12+SUM('现金与利息'!M$2:INDEX('现金与利息'!M:M,A12+1))</f>
        <v/>
      </c>
      <c r="N12" s="13">
        <f>IFERROR((K12+SUM('现金与利息'!M$2:INDEX('现金与利息'!M:M,A12+1)))/L12,"")</f>
        <v/>
      </c>
      <c r="O12" s="12">
        <f>IFERROR(N12^(1/A12)-1,"")</f>
        <v/>
      </c>
      <c r="P12" s="12">
        <f>IFERROR(XIRR('投资人现金流'!C23:J23,'投资人现金流'!C22:J22),"")</f>
        <v/>
      </c>
    </row>
    <row r="13">
      <c r="A13" s="9" t="n">
        <v>6</v>
      </c>
      <c r="B13" s="11" t="n">
        <v>8.5</v>
      </c>
      <c r="C13" s="8">
        <f>'经营预测'!B7</f>
        <v/>
      </c>
      <c r="D13" s="8">
        <f>B13*C13</f>
        <v/>
      </c>
      <c r="E13" s="8">
        <f>'现金与利息'!H7</f>
        <v/>
      </c>
      <c r="F13" s="8">
        <f>'现金与利息'!J7</f>
        <v/>
      </c>
      <c r="G13" s="8">
        <f>'交易与融资假设'!B11</f>
        <v/>
      </c>
      <c r="H13" s="8">
        <f>D13*'交易与融资假设'!B10</f>
        <v/>
      </c>
      <c r="I13" s="8">
        <f>MAX(0,D13-E13+F13-G13-H13)</f>
        <v/>
      </c>
      <c r="J13" s="12">
        <f>'Sources &amp; Uses'!D5/('Sources &amp; Uses'!D5+'交易与融资假设'!B8)</f>
        <v/>
      </c>
      <c r="K13" s="8">
        <f>I13*J13</f>
        <v/>
      </c>
      <c r="L13" s="8">
        <f>'Sources &amp; Uses'!D5+SUM('经营预测'!H$2:INDEX('经营预测'!H:H,A13+1))</f>
        <v/>
      </c>
      <c r="M13" s="8">
        <f>K13-L13+SUM('现金与利息'!M$2:INDEX('现金与利息'!M:M,A13+1))</f>
        <v/>
      </c>
      <c r="N13" s="13">
        <f>IFERROR((K13+SUM('现金与利息'!M$2:INDEX('现金与利息'!M:M,A13+1)))/L13,"")</f>
        <v/>
      </c>
      <c r="O13" s="12">
        <f>IFERROR(N13^(1/A13)-1,"")</f>
        <v/>
      </c>
      <c r="P13" s="12">
        <f>IFERROR(XIRR('投资人现金流'!C25:J25,'投资人现金流'!C24:J24),"")</f>
        <v/>
      </c>
    </row>
    <row r="14">
      <c r="A14" s="9" t="n">
        <v>7</v>
      </c>
      <c r="B14" s="11" t="n">
        <v>7</v>
      </c>
      <c r="C14" s="8">
        <f>'经营预测'!B8</f>
        <v/>
      </c>
      <c r="D14" s="8">
        <f>B14*C14</f>
        <v/>
      </c>
      <c r="E14" s="8">
        <f>'现金与利息'!H8</f>
        <v/>
      </c>
      <c r="F14" s="8">
        <f>'现金与利息'!J8</f>
        <v/>
      </c>
      <c r="G14" s="8">
        <f>'交易与融资假设'!B11</f>
        <v/>
      </c>
      <c r="H14" s="8">
        <f>D14*'交易与融资假设'!B10</f>
        <v/>
      </c>
      <c r="I14" s="8">
        <f>MAX(0,D14-E14+F14-G14-H14)</f>
        <v/>
      </c>
      <c r="J14" s="12">
        <f>'Sources &amp; Uses'!D5/('Sources &amp; Uses'!D5+'交易与融资假设'!B8)</f>
        <v/>
      </c>
      <c r="K14" s="8">
        <f>I14*J14</f>
        <v/>
      </c>
      <c r="L14" s="8">
        <f>'Sources &amp; Uses'!D5+SUM('经营预测'!H$2:INDEX('经营预测'!H:H,A14+1))</f>
        <v/>
      </c>
      <c r="M14" s="8">
        <f>K14-L14+SUM('现金与利息'!M$2:INDEX('现金与利息'!M:M,A14+1))</f>
        <v/>
      </c>
      <c r="N14" s="13">
        <f>IFERROR((K14+SUM('现金与利息'!M$2:INDEX('现金与利息'!M:M,A14+1)))/L14,"")</f>
        <v/>
      </c>
      <c r="O14" s="12">
        <f>IFERROR(N14^(1/A14)-1,"")</f>
        <v/>
      </c>
      <c r="P14" s="12">
        <f>IFERROR(XIRR('投资人现金流'!C27:J27,'投资人现金流'!C26:J26),"")</f>
        <v/>
      </c>
    </row>
    <row r="15">
      <c r="A15" s="9" t="n">
        <v>7</v>
      </c>
      <c r="B15" s="11" t="n">
        <v>7.625</v>
      </c>
      <c r="C15" s="8">
        <f>'经营预测'!B8</f>
        <v/>
      </c>
      <c r="D15" s="8">
        <f>B15*C15</f>
        <v/>
      </c>
      <c r="E15" s="8">
        <f>'现金与利息'!H8</f>
        <v/>
      </c>
      <c r="F15" s="8">
        <f>'现金与利息'!J8</f>
        <v/>
      </c>
      <c r="G15" s="8">
        <f>'交易与融资假设'!B11</f>
        <v/>
      </c>
      <c r="H15" s="8">
        <f>D15*'交易与融资假设'!B10</f>
        <v/>
      </c>
      <c r="I15" s="8">
        <f>MAX(0,D15-E15+F15-G15-H15)</f>
        <v/>
      </c>
      <c r="J15" s="12">
        <f>'Sources &amp; Uses'!D5/('Sources &amp; Uses'!D5+'交易与融资假设'!B8)</f>
        <v/>
      </c>
      <c r="K15" s="8">
        <f>I15*J15</f>
        <v/>
      </c>
      <c r="L15" s="8">
        <f>'Sources &amp; Uses'!D5+SUM('经营预测'!H$2:INDEX('经营预测'!H:H,A15+1))</f>
        <v/>
      </c>
      <c r="M15" s="8">
        <f>K15-L15+SUM('现金与利息'!M$2:INDEX('现金与利息'!M:M,A15+1))</f>
        <v/>
      </c>
      <c r="N15" s="13">
        <f>IFERROR((K15+SUM('现金与利息'!M$2:INDEX('现金与利息'!M:M,A15+1)))/L15,"")</f>
        <v/>
      </c>
      <c r="O15" s="12">
        <f>IFERROR(N15^(1/A15)-1,"")</f>
        <v/>
      </c>
      <c r="P15" s="12">
        <f>IFERROR(XIRR('投资人现金流'!C29:J29,'投资人现金流'!C28:J28),"")</f>
        <v/>
      </c>
    </row>
    <row r="16">
      <c r="A16" s="9" t="n">
        <v>7</v>
      </c>
      <c r="B16" s="11" t="n">
        <v>8.5</v>
      </c>
      <c r="C16" s="8">
        <f>'经营预测'!B8</f>
        <v/>
      </c>
      <c r="D16" s="8">
        <f>B16*C16</f>
        <v/>
      </c>
      <c r="E16" s="8">
        <f>'现金与利息'!H8</f>
        <v/>
      </c>
      <c r="F16" s="8">
        <f>'现金与利息'!J8</f>
        <v/>
      </c>
      <c r="G16" s="8">
        <f>'交易与融资假设'!B11</f>
        <v/>
      </c>
      <c r="H16" s="8">
        <f>D16*'交易与融资假设'!B10</f>
        <v/>
      </c>
      <c r="I16" s="8">
        <f>MAX(0,D16-E16+F16-G16-H16)</f>
        <v/>
      </c>
      <c r="J16" s="12">
        <f>'Sources &amp; Uses'!D5/('Sources &amp; Uses'!D5+'交易与融资假设'!B8)</f>
        <v/>
      </c>
      <c r="K16" s="8">
        <f>I16*J16</f>
        <v/>
      </c>
      <c r="L16" s="8">
        <f>'Sources &amp; Uses'!D5+SUM('经营预测'!H$2:INDEX('经营预测'!H:H,A16+1))</f>
        <v/>
      </c>
      <c r="M16" s="8">
        <f>K16-L16+SUM('现金与利息'!M$2:INDEX('现金与利息'!M:M,A16+1))</f>
        <v/>
      </c>
      <c r="N16" s="13">
        <f>IFERROR((K16+SUM('现金与利息'!M$2:INDEX('现金与利息'!M:M,A16+1)))/L16,"")</f>
        <v/>
      </c>
      <c r="O16" s="12">
        <f>IFERROR(N16^(1/A16)-1,"")</f>
        <v/>
      </c>
      <c r="P16" s="12">
        <f>IFERROR(XIRR('投资人现金流'!C31:J31,'投资人现金流'!C30:J30),"")</f>
        <v/>
      </c>
    </row>
  </sheetData>
  <autoFilter ref="A1:P16"/>
  <printOptions horizontalCentered="1"/>
  <pageMargins left="0.25" right="0.25" top="0.4" bottom="0.4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</cols>
  <sheetData>
    <row r="1">
      <c r="A1" s="3" t="inlineStr">
        <is>
          <t>退出情景</t>
        </is>
      </c>
      <c r="B1" s="3" t="inlineStr">
        <is>
          <t>行类型</t>
        </is>
      </c>
      <c r="C1" s="3" t="inlineStr">
        <is>
          <t>投入日</t>
        </is>
      </c>
      <c r="D1" s="3" t="inlineStr">
        <is>
          <t>第1年</t>
        </is>
      </c>
      <c r="E1" s="3" t="inlineStr">
        <is>
          <t>第2年</t>
        </is>
      </c>
      <c r="F1" s="3" t="inlineStr">
        <is>
          <t>第3年</t>
        </is>
      </c>
      <c r="G1" s="3" t="inlineStr">
        <is>
          <t>第4年</t>
        </is>
      </c>
      <c r="H1" s="3" t="inlineStr">
        <is>
          <t>第5年</t>
        </is>
      </c>
      <c r="I1" s="3" t="inlineStr">
        <is>
          <t>第6年</t>
        </is>
      </c>
      <c r="J1" s="3" t="inlineStr">
        <is>
          <t>第7年</t>
        </is>
      </c>
    </row>
    <row r="2">
      <c r="A2" s="8" t="inlineStr">
        <is>
          <t>Y3-7.00x</t>
        </is>
      </c>
      <c r="B2" s="8" t="inlineStr">
        <is>
          <t>日期</t>
        </is>
      </c>
      <c r="C2" s="8">
        <f>'交易与融资假设'!B12</f>
        <v/>
      </c>
      <c r="D2" s="8">
        <f>DATE(YEAR('交易与融资假设'!B12)+1,MONTH('交易与融资假设'!B12),DAY('交易与融资假设'!B12))</f>
        <v/>
      </c>
      <c r="E2" s="8">
        <f>DATE(YEAR('交易与融资假设'!B12)+2,MONTH('交易与融资假设'!B12),DAY('交易与融资假设'!B12))</f>
        <v/>
      </c>
      <c r="F2" s="8">
        <f>DATE(YEAR('交易与融资假设'!B12)+3,MONTH('交易与融资假设'!B12),DAY('交易与融资假设'!B12))</f>
        <v/>
      </c>
      <c r="G2" s="8">
        <f>DATE(YEAR('交易与融资假设'!B12)+4,MONTH('交易与融资假设'!B12),DAY('交易与融资假设'!B12))</f>
        <v/>
      </c>
      <c r="H2" s="8">
        <f>DATE(YEAR('交易与融资假设'!B12)+5,MONTH('交易与融资假设'!B12),DAY('交易与融资假设'!B12))</f>
        <v/>
      </c>
      <c r="I2" s="8">
        <f>DATE(YEAR('交易与融资假设'!B12)+6,MONTH('交易与融资假设'!B12),DAY('交易与融资假设'!B12))</f>
        <v/>
      </c>
      <c r="J2" s="8">
        <f>DATE(YEAR('交易与融资假设'!B12)+7,MONTH('交易与融资假设'!B12),DAY('交易与融资假设'!B12))</f>
        <v/>
      </c>
    </row>
    <row r="3">
      <c r="A3" s="8" t="inlineStr">
        <is>
          <t>Y3-7.00x</t>
        </is>
      </c>
      <c r="B3" s="8" t="inlineStr">
        <is>
          <t>现金流</t>
        </is>
      </c>
      <c r="C3" s="8">
        <f>-'Sources &amp; Uses'!D5</f>
        <v/>
      </c>
      <c r="D3" s="8">
        <f>'现金与利息'!M2-'经营预测'!H2</f>
        <v/>
      </c>
      <c r="E3" s="8">
        <f>'现金与利息'!M3-'经营预测'!H3</f>
        <v/>
      </c>
      <c r="F3" s="8">
        <f>'现金与利息'!M4-'经营预测'!H4+'退出回报'!K2</f>
        <v/>
      </c>
      <c r="G3" s="8">
        <f>'经营预测'!H5*0</f>
        <v/>
      </c>
      <c r="H3" s="8">
        <f>'经营预测'!H6*0</f>
        <v/>
      </c>
      <c r="I3" s="8">
        <f>'经营预测'!H7*0</f>
        <v/>
      </c>
      <c r="J3" s="8">
        <f>'经营预测'!H8*0</f>
        <v/>
      </c>
    </row>
    <row r="4">
      <c r="A4" s="8" t="inlineStr">
        <is>
          <t>Y3-7.62x</t>
        </is>
      </c>
      <c r="B4" s="8" t="inlineStr">
        <is>
          <t>日期</t>
        </is>
      </c>
      <c r="C4" s="8">
        <f>'交易与融资假设'!B12</f>
        <v/>
      </c>
      <c r="D4" s="8">
        <f>DATE(YEAR('交易与融资假设'!B12)+1,MONTH('交易与融资假设'!B12),DAY('交易与融资假设'!B12))</f>
        <v/>
      </c>
      <c r="E4" s="8">
        <f>DATE(YEAR('交易与融资假设'!B12)+2,MONTH('交易与融资假设'!B12),DAY('交易与融资假设'!B12))</f>
        <v/>
      </c>
      <c r="F4" s="8">
        <f>DATE(YEAR('交易与融资假设'!B12)+3,MONTH('交易与融资假设'!B12),DAY('交易与融资假设'!B12))</f>
        <v/>
      </c>
      <c r="G4" s="8">
        <f>DATE(YEAR('交易与融资假设'!B12)+4,MONTH('交易与融资假设'!B12),DAY('交易与融资假设'!B12))</f>
        <v/>
      </c>
      <c r="H4" s="8">
        <f>DATE(YEAR('交易与融资假设'!B12)+5,MONTH('交易与融资假设'!B12),DAY('交易与融资假设'!B12))</f>
        <v/>
      </c>
      <c r="I4" s="8">
        <f>DATE(YEAR('交易与融资假设'!B12)+6,MONTH('交易与融资假设'!B12),DAY('交易与融资假设'!B12))</f>
        <v/>
      </c>
      <c r="J4" s="8">
        <f>DATE(YEAR('交易与融资假设'!B12)+7,MONTH('交易与融资假设'!B12),DAY('交易与融资假设'!B12))</f>
        <v/>
      </c>
    </row>
    <row r="5">
      <c r="A5" s="8" t="inlineStr">
        <is>
          <t>Y3-7.62x</t>
        </is>
      </c>
      <c r="B5" s="8" t="inlineStr">
        <is>
          <t>现金流</t>
        </is>
      </c>
      <c r="C5" s="8">
        <f>-'Sources &amp; Uses'!D5</f>
        <v/>
      </c>
      <c r="D5" s="8">
        <f>'现金与利息'!M2-'经营预测'!H2</f>
        <v/>
      </c>
      <c r="E5" s="8">
        <f>'现金与利息'!M3-'经营预测'!H3</f>
        <v/>
      </c>
      <c r="F5" s="8">
        <f>'现金与利息'!M4-'经营预测'!H4+'退出回报'!K3</f>
        <v/>
      </c>
      <c r="G5" s="8">
        <f>'经营预测'!H5*0</f>
        <v/>
      </c>
      <c r="H5" s="8">
        <f>'经营预测'!H6*0</f>
        <v/>
      </c>
      <c r="I5" s="8">
        <f>'经营预测'!H7*0</f>
        <v/>
      </c>
      <c r="J5" s="8">
        <f>'经营预测'!H8*0</f>
        <v/>
      </c>
    </row>
    <row r="6">
      <c r="A6" s="8" t="inlineStr">
        <is>
          <t>Y3-8.50x</t>
        </is>
      </c>
      <c r="B6" s="8" t="inlineStr">
        <is>
          <t>日期</t>
        </is>
      </c>
      <c r="C6" s="8">
        <f>'交易与融资假设'!B12</f>
        <v/>
      </c>
      <c r="D6" s="8">
        <f>DATE(YEAR('交易与融资假设'!B12)+1,MONTH('交易与融资假设'!B12),DAY('交易与融资假设'!B12))</f>
        <v/>
      </c>
      <c r="E6" s="8">
        <f>DATE(YEAR('交易与融资假设'!B12)+2,MONTH('交易与融资假设'!B12),DAY('交易与融资假设'!B12))</f>
        <v/>
      </c>
      <c r="F6" s="8">
        <f>DATE(YEAR('交易与融资假设'!B12)+3,MONTH('交易与融资假设'!B12),DAY('交易与融资假设'!B12))</f>
        <v/>
      </c>
      <c r="G6" s="8">
        <f>DATE(YEAR('交易与融资假设'!B12)+4,MONTH('交易与融资假设'!B12),DAY('交易与融资假设'!B12))</f>
        <v/>
      </c>
      <c r="H6" s="8">
        <f>DATE(YEAR('交易与融资假设'!B12)+5,MONTH('交易与融资假设'!B12),DAY('交易与融资假设'!B12))</f>
        <v/>
      </c>
      <c r="I6" s="8">
        <f>DATE(YEAR('交易与融资假设'!B12)+6,MONTH('交易与融资假设'!B12),DAY('交易与融资假设'!B12))</f>
        <v/>
      </c>
      <c r="J6" s="8">
        <f>DATE(YEAR('交易与融资假设'!B12)+7,MONTH('交易与融资假设'!B12),DAY('交易与融资假设'!B12))</f>
        <v/>
      </c>
    </row>
    <row r="7">
      <c r="A7" s="8" t="inlineStr">
        <is>
          <t>Y3-8.50x</t>
        </is>
      </c>
      <c r="B7" s="8" t="inlineStr">
        <is>
          <t>现金流</t>
        </is>
      </c>
      <c r="C7" s="8">
        <f>-'Sources &amp; Uses'!D5</f>
        <v/>
      </c>
      <c r="D7" s="8">
        <f>'现金与利息'!M2-'经营预测'!H2</f>
        <v/>
      </c>
      <c r="E7" s="8">
        <f>'现金与利息'!M3-'经营预测'!H3</f>
        <v/>
      </c>
      <c r="F7" s="8">
        <f>'现金与利息'!M4-'经营预测'!H4+'退出回报'!K4</f>
        <v/>
      </c>
      <c r="G7" s="8">
        <f>'经营预测'!H5*0</f>
        <v/>
      </c>
      <c r="H7" s="8">
        <f>'经营预测'!H6*0</f>
        <v/>
      </c>
      <c r="I7" s="8">
        <f>'经营预测'!H7*0</f>
        <v/>
      </c>
      <c r="J7" s="8">
        <f>'经营预测'!H8*0</f>
        <v/>
      </c>
    </row>
    <row r="8">
      <c r="A8" s="8" t="inlineStr">
        <is>
          <t>Y4-7.00x</t>
        </is>
      </c>
      <c r="B8" s="8" t="inlineStr">
        <is>
          <t>日期</t>
        </is>
      </c>
      <c r="C8" s="8">
        <f>'交易与融资假设'!B12</f>
        <v/>
      </c>
      <c r="D8" s="8">
        <f>DATE(YEAR('交易与融资假设'!B12)+1,MONTH('交易与融资假设'!B12),DAY('交易与融资假设'!B12))</f>
        <v/>
      </c>
      <c r="E8" s="8">
        <f>DATE(YEAR('交易与融资假设'!B12)+2,MONTH('交易与融资假设'!B12),DAY('交易与融资假设'!B12))</f>
        <v/>
      </c>
      <c r="F8" s="8">
        <f>DATE(YEAR('交易与融资假设'!B12)+3,MONTH('交易与融资假设'!B12),DAY('交易与融资假设'!B12))</f>
        <v/>
      </c>
      <c r="G8" s="8">
        <f>DATE(YEAR('交易与融资假设'!B12)+4,MONTH('交易与融资假设'!B12),DAY('交易与融资假设'!B12))</f>
        <v/>
      </c>
      <c r="H8" s="8">
        <f>DATE(YEAR('交易与融资假设'!B12)+5,MONTH('交易与融资假设'!B12),DAY('交易与融资假设'!B12))</f>
        <v/>
      </c>
      <c r="I8" s="8">
        <f>DATE(YEAR('交易与融资假设'!B12)+6,MONTH('交易与融资假设'!B12),DAY('交易与融资假设'!B12))</f>
        <v/>
      </c>
      <c r="J8" s="8">
        <f>DATE(YEAR('交易与融资假设'!B12)+7,MONTH('交易与融资假设'!B12),DAY('交易与融资假设'!B12))</f>
        <v/>
      </c>
    </row>
    <row r="9">
      <c r="A9" s="8" t="inlineStr">
        <is>
          <t>Y4-7.00x</t>
        </is>
      </c>
      <c r="B9" s="8" t="inlineStr">
        <is>
          <t>现金流</t>
        </is>
      </c>
      <c r="C9" s="8">
        <f>-'Sources &amp; Uses'!D5</f>
        <v/>
      </c>
      <c r="D9" s="8">
        <f>'现金与利息'!M2-'经营预测'!H2</f>
        <v/>
      </c>
      <c r="E9" s="8">
        <f>'现金与利息'!M3-'经营预测'!H3</f>
        <v/>
      </c>
      <c r="F9" s="8">
        <f>'现金与利息'!M4-'经营预测'!H4</f>
        <v/>
      </c>
      <c r="G9" s="8">
        <f>'现金与利息'!M5-'经营预测'!H5+'退出回报'!K5</f>
        <v/>
      </c>
      <c r="H9" s="8">
        <f>'经营预测'!H6*0</f>
        <v/>
      </c>
      <c r="I9" s="8">
        <f>'经营预测'!H7*0</f>
        <v/>
      </c>
      <c r="J9" s="8">
        <f>'经营预测'!H8*0</f>
        <v/>
      </c>
    </row>
    <row r="10">
      <c r="A10" s="8" t="inlineStr">
        <is>
          <t>Y4-7.62x</t>
        </is>
      </c>
      <c r="B10" s="8" t="inlineStr">
        <is>
          <t>日期</t>
        </is>
      </c>
      <c r="C10" s="8">
        <f>'交易与融资假设'!B12</f>
        <v/>
      </c>
      <c r="D10" s="8">
        <f>DATE(YEAR('交易与融资假设'!B12)+1,MONTH('交易与融资假设'!B12),DAY('交易与融资假设'!B12))</f>
        <v/>
      </c>
      <c r="E10" s="8">
        <f>DATE(YEAR('交易与融资假设'!B12)+2,MONTH('交易与融资假设'!B12),DAY('交易与融资假设'!B12))</f>
        <v/>
      </c>
      <c r="F10" s="8">
        <f>DATE(YEAR('交易与融资假设'!B12)+3,MONTH('交易与融资假设'!B12),DAY('交易与融资假设'!B12))</f>
        <v/>
      </c>
      <c r="G10" s="8">
        <f>DATE(YEAR('交易与融资假设'!B12)+4,MONTH('交易与融资假设'!B12),DAY('交易与融资假设'!B12))</f>
        <v/>
      </c>
      <c r="H10" s="8">
        <f>DATE(YEAR('交易与融资假设'!B12)+5,MONTH('交易与融资假设'!B12),DAY('交易与融资假设'!B12))</f>
        <v/>
      </c>
      <c r="I10" s="8">
        <f>DATE(YEAR('交易与融资假设'!B12)+6,MONTH('交易与融资假设'!B12),DAY('交易与融资假设'!B12))</f>
        <v/>
      </c>
      <c r="J10" s="8">
        <f>DATE(YEAR('交易与融资假设'!B12)+7,MONTH('交易与融资假设'!B12),DAY('交易与融资假设'!B12))</f>
        <v/>
      </c>
    </row>
    <row r="11">
      <c r="A11" s="8" t="inlineStr">
        <is>
          <t>Y4-7.62x</t>
        </is>
      </c>
      <c r="B11" s="8" t="inlineStr">
        <is>
          <t>现金流</t>
        </is>
      </c>
      <c r="C11" s="8">
        <f>-'Sources &amp; Uses'!D5</f>
        <v/>
      </c>
      <c r="D11" s="8">
        <f>'现金与利息'!M2-'经营预测'!H2</f>
        <v/>
      </c>
      <c r="E11" s="8">
        <f>'现金与利息'!M3-'经营预测'!H3</f>
        <v/>
      </c>
      <c r="F11" s="8">
        <f>'现金与利息'!M4-'经营预测'!H4</f>
        <v/>
      </c>
      <c r="G11" s="8">
        <f>'现金与利息'!M5-'经营预测'!H5+'退出回报'!K6</f>
        <v/>
      </c>
      <c r="H11" s="8">
        <f>'经营预测'!H6*0</f>
        <v/>
      </c>
      <c r="I11" s="8">
        <f>'经营预测'!H7*0</f>
        <v/>
      </c>
      <c r="J11" s="8">
        <f>'经营预测'!H8*0</f>
        <v/>
      </c>
    </row>
    <row r="12">
      <c r="A12" s="8" t="inlineStr">
        <is>
          <t>Y4-8.50x</t>
        </is>
      </c>
      <c r="B12" s="8" t="inlineStr">
        <is>
          <t>日期</t>
        </is>
      </c>
      <c r="C12" s="8">
        <f>'交易与融资假设'!B12</f>
        <v/>
      </c>
      <c r="D12" s="8">
        <f>DATE(YEAR('交易与融资假设'!B12)+1,MONTH('交易与融资假设'!B12),DAY('交易与融资假设'!B12))</f>
        <v/>
      </c>
      <c r="E12" s="8">
        <f>DATE(YEAR('交易与融资假设'!B12)+2,MONTH('交易与融资假设'!B12),DAY('交易与融资假设'!B12))</f>
        <v/>
      </c>
      <c r="F12" s="8">
        <f>DATE(YEAR('交易与融资假设'!B12)+3,MONTH('交易与融资假设'!B12),DAY('交易与融资假设'!B12))</f>
        <v/>
      </c>
      <c r="G12" s="8">
        <f>DATE(YEAR('交易与融资假设'!B12)+4,MONTH('交易与融资假设'!B12),DAY('交易与融资假设'!B12))</f>
        <v/>
      </c>
      <c r="H12" s="8">
        <f>DATE(YEAR('交易与融资假设'!B12)+5,MONTH('交易与融资假设'!B12),DAY('交易与融资假设'!B12))</f>
        <v/>
      </c>
      <c r="I12" s="8">
        <f>DATE(YEAR('交易与融资假设'!B12)+6,MONTH('交易与融资假设'!B12),DAY('交易与融资假设'!B12))</f>
        <v/>
      </c>
      <c r="J12" s="8">
        <f>DATE(YEAR('交易与融资假设'!B12)+7,MONTH('交易与融资假设'!B12),DAY('交易与融资假设'!B12))</f>
        <v/>
      </c>
    </row>
    <row r="13">
      <c r="A13" s="8" t="inlineStr">
        <is>
          <t>Y4-8.50x</t>
        </is>
      </c>
      <c r="B13" s="8" t="inlineStr">
        <is>
          <t>现金流</t>
        </is>
      </c>
      <c r="C13" s="8">
        <f>-'Sources &amp; Uses'!D5</f>
        <v/>
      </c>
      <c r="D13" s="8">
        <f>'现金与利息'!M2-'经营预测'!H2</f>
        <v/>
      </c>
      <c r="E13" s="8">
        <f>'现金与利息'!M3-'经营预测'!H3</f>
        <v/>
      </c>
      <c r="F13" s="8">
        <f>'现金与利息'!M4-'经营预测'!H4</f>
        <v/>
      </c>
      <c r="G13" s="8">
        <f>'现金与利息'!M5-'经营预测'!H5+'退出回报'!K7</f>
        <v/>
      </c>
      <c r="H13" s="8">
        <f>'经营预测'!H6*0</f>
        <v/>
      </c>
      <c r="I13" s="8">
        <f>'经营预测'!H7*0</f>
        <v/>
      </c>
      <c r="J13" s="8">
        <f>'经营预测'!H8*0</f>
        <v/>
      </c>
    </row>
    <row r="14">
      <c r="A14" s="8" t="inlineStr">
        <is>
          <t>Y5-7.00x</t>
        </is>
      </c>
      <c r="B14" s="8" t="inlineStr">
        <is>
          <t>日期</t>
        </is>
      </c>
      <c r="C14" s="8">
        <f>'交易与融资假设'!B12</f>
        <v/>
      </c>
      <c r="D14" s="8">
        <f>DATE(YEAR('交易与融资假设'!B12)+1,MONTH('交易与融资假设'!B12),DAY('交易与融资假设'!B12))</f>
        <v/>
      </c>
      <c r="E14" s="8">
        <f>DATE(YEAR('交易与融资假设'!B12)+2,MONTH('交易与融资假设'!B12),DAY('交易与融资假设'!B12))</f>
        <v/>
      </c>
      <c r="F14" s="8">
        <f>DATE(YEAR('交易与融资假设'!B12)+3,MONTH('交易与融资假设'!B12),DAY('交易与融资假设'!B12))</f>
        <v/>
      </c>
      <c r="G14" s="8">
        <f>DATE(YEAR('交易与融资假设'!B12)+4,MONTH('交易与融资假设'!B12),DAY('交易与融资假设'!B12))</f>
        <v/>
      </c>
      <c r="H14" s="8">
        <f>DATE(YEAR('交易与融资假设'!B12)+5,MONTH('交易与融资假设'!B12),DAY('交易与融资假设'!B12))</f>
        <v/>
      </c>
      <c r="I14" s="8">
        <f>DATE(YEAR('交易与融资假设'!B12)+6,MONTH('交易与融资假设'!B12),DAY('交易与融资假设'!B12))</f>
        <v/>
      </c>
      <c r="J14" s="8">
        <f>DATE(YEAR('交易与融资假设'!B12)+7,MONTH('交易与融资假设'!B12),DAY('交易与融资假设'!B12))</f>
        <v/>
      </c>
    </row>
    <row r="15">
      <c r="A15" s="8" t="inlineStr">
        <is>
          <t>Y5-7.00x</t>
        </is>
      </c>
      <c r="B15" s="8" t="inlineStr">
        <is>
          <t>现金流</t>
        </is>
      </c>
      <c r="C15" s="8">
        <f>-'Sources &amp; Uses'!D5</f>
        <v/>
      </c>
      <c r="D15" s="8">
        <f>'现金与利息'!M2-'经营预测'!H2</f>
        <v/>
      </c>
      <c r="E15" s="8">
        <f>'现金与利息'!M3-'经营预测'!H3</f>
        <v/>
      </c>
      <c r="F15" s="8">
        <f>'现金与利息'!M4-'经营预测'!H4</f>
        <v/>
      </c>
      <c r="G15" s="8">
        <f>'现金与利息'!M5-'经营预测'!H5</f>
        <v/>
      </c>
      <c r="H15" s="8">
        <f>'现金与利息'!M6-'经营预测'!H6+'退出回报'!K8</f>
        <v/>
      </c>
      <c r="I15" s="8">
        <f>'经营预测'!H7*0</f>
        <v/>
      </c>
      <c r="J15" s="8">
        <f>'经营预测'!H8*0</f>
        <v/>
      </c>
    </row>
    <row r="16">
      <c r="A16" s="8" t="inlineStr">
        <is>
          <t>Y5-7.62x</t>
        </is>
      </c>
      <c r="B16" s="8" t="inlineStr">
        <is>
          <t>日期</t>
        </is>
      </c>
      <c r="C16" s="8">
        <f>'交易与融资假设'!B12</f>
        <v/>
      </c>
      <c r="D16" s="8">
        <f>DATE(YEAR('交易与融资假设'!B12)+1,MONTH('交易与融资假设'!B12),DAY('交易与融资假设'!B12))</f>
        <v/>
      </c>
      <c r="E16" s="8">
        <f>DATE(YEAR('交易与融资假设'!B12)+2,MONTH('交易与融资假设'!B12),DAY('交易与融资假设'!B12))</f>
        <v/>
      </c>
      <c r="F16" s="8">
        <f>DATE(YEAR('交易与融资假设'!B12)+3,MONTH('交易与融资假设'!B12),DAY('交易与融资假设'!B12))</f>
        <v/>
      </c>
      <c r="G16" s="8">
        <f>DATE(YEAR('交易与融资假设'!B12)+4,MONTH('交易与融资假设'!B12),DAY('交易与融资假设'!B12))</f>
        <v/>
      </c>
      <c r="H16" s="8">
        <f>DATE(YEAR('交易与融资假设'!B12)+5,MONTH('交易与融资假设'!B12),DAY('交易与融资假设'!B12))</f>
        <v/>
      </c>
      <c r="I16" s="8">
        <f>DATE(YEAR('交易与融资假设'!B12)+6,MONTH('交易与融资假设'!B12),DAY('交易与融资假设'!B12))</f>
        <v/>
      </c>
      <c r="J16" s="8">
        <f>DATE(YEAR('交易与融资假设'!B12)+7,MONTH('交易与融资假设'!B12),DAY('交易与融资假设'!B12))</f>
        <v/>
      </c>
    </row>
    <row r="17">
      <c r="A17" s="8" t="inlineStr">
        <is>
          <t>Y5-7.62x</t>
        </is>
      </c>
      <c r="B17" s="8" t="inlineStr">
        <is>
          <t>现金流</t>
        </is>
      </c>
      <c r="C17" s="8">
        <f>-'Sources &amp; Uses'!D5</f>
        <v/>
      </c>
      <c r="D17" s="8">
        <f>'现金与利息'!M2-'经营预测'!H2</f>
        <v/>
      </c>
      <c r="E17" s="8">
        <f>'现金与利息'!M3-'经营预测'!H3</f>
        <v/>
      </c>
      <c r="F17" s="8">
        <f>'现金与利息'!M4-'经营预测'!H4</f>
        <v/>
      </c>
      <c r="G17" s="8">
        <f>'现金与利息'!M5-'经营预测'!H5</f>
        <v/>
      </c>
      <c r="H17" s="8">
        <f>'现金与利息'!M6-'经营预测'!H6+'退出回报'!K9</f>
        <v/>
      </c>
      <c r="I17" s="8">
        <f>'经营预测'!H7*0</f>
        <v/>
      </c>
      <c r="J17" s="8">
        <f>'经营预测'!H8*0</f>
        <v/>
      </c>
    </row>
    <row r="18">
      <c r="A18" s="8" t="inlineStr">
        <is>
          <t>Y5-8.50x</t>
        </is>
      </c>
      <c r="B18" s="8" t="inlineStr">
        <is>
          <t>日期</t>
        </is>
      </c>
      <c r="C18" s="8">
        <f>'交易与融资假设'!B12</f>
        <v/>
      </c>
      <c r="D18" s="8">
        <f>DATE(YEAR('交易与融资假设'!B12)+1,MONTH('交易与融资假设'!B12),DAY('交易与融资假设'!B12))</f>
        <v/>
      </c>
      <c r="E18" s="8">
        <f>DATE(YEAR('交易与融资假设'!B12)+2,MONTH('交易与融资假设'!B12),DAY('交易与融资假设'!B12))</f>
        <v/>
      </c>
      <c r="F18" s="8">
        <f>DATE(YEAR('交易与融资假设'!B12)+3,MONTH('交易与融资假设'!B12),DAY('交易与融资假设'!B12))</f>
        <v/>
      </c>
      <c r="G18" s="8">
        <f>DATE(YEAR('交易与融资假设'!B12)+4,MONTH('交易与融资假设'!B12),DAY('交易与融资假设'!B12))</f>
        <v/>
      </c>
      <c r="H18" s="8">
        <f>DATE(YEAR('交易与融资假设'!B12)+5,MONTH('交易与融资假设'!B12),DAY('交易与融资假设'!B12))</f>
        <v/>
      </c>
      <c r="I18" s="8">
        <f>DATE(YEAR('交易与融资假设'!B12)+6,MONTH('交易与融资假设'!B12),DAY('交易与融资假设'!B12))</f>
        <v/>
      </c>
      <c r="J18" s="8">
        <f>DATE(YEAR('交易与融资假设'!B12)+7,MONTH('交易与融资假设'!B12),DAY('交易与融资假设'!B12))</f>
        <v/>
      </c>
    </row>
    <row r="19">
      <c r="A19" s="8" t="inlineStr">
        <is>
          <t>Y5-8.50x</t>
        </is>
      </c>
      <c r="B19" s="8" t="inlineStr">
        <is>
          <t>现金流</t>
        </is>
      </c>
      <c r="C19" s="8">
        <f>-'Sources &amp; Uses'!D5</f>
        <v/>
      </c>
      <c r="D19" s="8">
        <f>'现金与利息'!M2-'经营预测'!H2</f>
        <v/>
      </c>
      <c r="E19" s="8">
        <f>'现金与利息'!M3-'经营预测'!H3</f>
        <v/>
      </c>
      <c r="F19" s="8">
        <f>'现金与利息'!M4-'经营预测'!H4</f>
        <v/>
      </c>
      <c r="G19" s="8">
        <f>'现金与利息'!M5-'经营预测'!H5</f>
        <v/>
      </c>
      <c r="H19" s="8">
        <f>'现金与利息'!M6-'经营预测'!H6+'退出回报'!K10</f>
        <v/>
      </c>
      <c r="I19" s="8">
        <f>'经营预测'!H7*0</f>
        <v/>
      </c>
      <c r="J19" s="8">
        <f>'经营预测'!H8*0</f>
        <v/>
      </c>
    </row>
    <row r="20">
      <c r="A20" s="8" t="inlineStr">
        <is>
          <t>Y6-7.00x</t>
        </is>
      </c>
      <c r="B20" s="8" t="inlineStr">
        <is>
          <t>日期</t>
        </is>
      </c>
      <c r="C20" s="8">
        <f>'交易与融资假设'!B12</f>
        <v/>
      </c>
      <c r="D20" s="8">
        <f>DATE(YEAR('交易与融资假设'!B12)+1,MONTH('交易与融资假设'!B12),DAY('交易与融资假设'!B12))</f>
        <v/>
      </c>
      <c r="E20" s="8">
        <f>DATE(YEAR('交易与融资假设'!B12)+2,MONTH('交易与融资假设'!B12),DAY('交易与融资假设'!B12))</f>
        <v/>
      </c>
      <c r="F20" s="8">
        <f>DATE(YEAR('交易与融资假设'!B12)+3,MONTH('交易与融资假设'!B12),DAY('交易与融资假设'!B12))</f>
        <v/>
      </c>
      <c r="G20" s="8">
        <f>DATE(YEAR('交易与融资假设'!B12)+4,MONTH('交易与融资假设'!B12),DAY('交易与融资假设'!B12))</f>
        <v/>
      </c>
      <c r="H20" s="8">
        <f>DATE(YEAR('交易与融资假设'!B12)+5,MONTH('交易与融资假设'!B12),DAY('交易与融资假设'!B12))</f>
        <v/>
      </c>
      <c r="I20" s="8">
        <f>DATE(YEAR('交易与融资假设'!B12)+6,MONTH('交易与融资假设'!B12),DAY('交易与融资假设'!B12))</f>
        <v/>
      </c>
      <c r="J20" s="8">
        <f>DATE(YEAR('交易与融资假设'!B12)+7,MONTH('交易与融资假设'!B12),DAY('交易与融资假设'!B12))</f>
        <v/>
      </c>
    </row>
    <row r="21">
      <c r="A21" s="8" t="inlineStr">
        <is>
          <t>Y6-7.00x</t>
        </is>
      </c>
      <c r="B21" s="8" t="inlineStr">
        <is>
          <t>现金流</t>
        </is>
      </c>
      <c r="C21" s="8">
        <f>-'Sources &amp; Uses'!D5</f>
        <v/>
      </c>
      <c r="D21" s="8">
        <f>'现金与利息'!M2-'经营预测'!H2</f>
        <v/>
      </c>
      <c r="E21" s="8">
        <f>'现金与利息'!M3-'经营预测'!H3</f>
        <v/>
      </c>
      <c r="F21" s="8">
        <f>'现金与利息'!M4-'经营预测'!H4</f>
        <v/>
      </c>
      <c r="G21" s="8">
        <f>'现金与利息'!M5-'经营预测'!H5</f>
        <v/>
      </c>
      <c r="H21" s="8">
        <f>'现金与利息'!M6-'经营预测'!H6</f>
        <v/>
      </c>
      <c r="I21" s="8">
        <f>'现金与利息'!M7-'经营预测'!H7+'退出回报'!K11</f>
        <v/>
      </c>
      <c r="J21" s="8">
        <f>'经营预测'!H8*0</f>
        <v/>
      </c>
    </row>
    <row r="22">
      <c r="A22" s="8" t="inlineStr">
        <is>
          <t>Y6-7.62x</t>
        </is>
      </c>
      <c r="B22" s="8" t="inlineStr">
        <is>
          <t>日期</t>
        </is>
      </c>
      <c r="C22" s="8">
        <f>'交易与融资假设'!B12</f>
        <v/>
      </c>
      <c r="D22" s="8">
        <f>DATE(YEAR('交易与融资假设'!B12)+1,MONTH('交易与融资假设'!B12),DAY('交易与融资假设'!B12))</f>
        <v/>
      </c>
      <c r="E22" s="8">
        <f>DATE(YEAR('交易与融资假设'!B12)+2,MONTH('交易与融资假设'!B12),DAY('交易与融资假设'!B12))</f>
        <v/>
      </c>
      <c r="F22" s="8">
        <f>DATE(YEAR('交易与融资假设'!B12)+3,MONTH('交易与融资假设'!B12),DAY('交易与融资假设'!B12))</f>
        <v/>
      </c>
      <c r="G22" s="8">
        <f>DATE(YEAR('交易与融资假设'!B12)+4,MONTH('交易与融资假设'!B12),DAY('交易与融资假设'!B12))</f>
        <v/>
      </c>
      <c r="H22" s="8">
        <f>DATE(YEAR('交易与融资假设'!B12)+5,MONTH('交易与融资假设'!B12),DAY('交易与融资假设'!B12))</f>
        <v/>
      </c>
      <c r="I22" s="8">
        <f>DATE(YEAR('交易与融资假设'!B12)+6,MONTH('交易与融资假设'!B12),DAY('交易与融资假设'!B12))</f>
        <v/>
      </c>
      <c r="J22" s="8">
        <f>DATE(YEAR('交易与融资假设'!B12)+7,MONTH('交易与融资假设'!B12),DAY('交易与融资假设'!B12))</f>
        <v/>
      </c>
    </row>
    <row r="23">
      <c r="A23" s="8" t="inlineStr">
        <is>
          <t>Y6-7.62x</t>
        </is>
      </c>
      <c r="B23" s="8" t="inlineStr">
        <is>
          <t>现金流</t>
        </is>
      </c>
      <c r="C23" s="8">
        <f>-'Sources &amp; Uses'!D5</f>
        <v/>
      </c>
      <c r="D23" s="8">
        <f>'现金与利息'!M2-'经营预测'!H2</f>
        <v/>
      </c>
      <c r="E23" s="8">
        <f>'现金与利息'!M3-'经营预测'!H3</f>
        <v/>
      </c>
      <c r="F23" s="8">
        <f>'现金与利息'!M4-'经营预测'!H4</f>
        <v/>
      </c>
      <c r="G23" s="8">
        <f>'现金与利息'!M5-'经营预测'!H5</f>
        <v/>
      </c>
      <c r="H23" s="8">
        <f>'现金与利息'!M6-'经营预测'!H6</f>
        <v/>
      </c>
      <c r="I23" s="8">
        <f>'现金与利息'!M7-'经营预测'!H7+'退出回报'!K12</f>
        <v/>
      </c>
      <c r="J23" s="8">
        <f>'经营预测'!H8*0</f>
        <v/>
      </c>
    </row>
    <row r="24">
      <c r="A24" s="8" t="inlineStr">
        <is>
          <t>Y6-8.50x</t>
        </is>
      </c>
      <c r="B24" s="8" t="inlineStr">
        <is>
          <t>日期</t>
        </is>
      </c>
      <c r="C24" s="8">
        <f>'交易与融资假设'!B12</f>
        <v/>
      </c>
      <c r="D24" s="8">
        <f>DATE(YEAR('交易与融资假设'!B12)+1,MONTH('交易与融资假设'!B12),DAY('交易与融资假设'!B12))</f>
        <v/>
      </c>
      <c r="E24" s="8">
        <f>DATE(YEAR('交易与融资假设'!B12)+2,MONTH('交易与融资假设'!B12),DAY('交易与融资假设'!B12))</f>
        <v/>
      </c>
      <c r="F24" s="8">
        <f>DATE(YEAR('交易与融资假设'!B12)+3,MONTH('交易与融资假设'!B12),DAY('交易与融资假设'!B12))</f>
        <v/>
      </c>
      <c r="G24" s="8">
        <f>DATE(YEAR('交易与融资假设'!B12)+4,MONTH('交易与融资假设'!B12),DAY('交易与融资假设'!B12))</f>
        <v/>
      </c>
      <c r="H24" s="8">
        <f>DATE(YEAR('交易与融资假设'!B12)+5,MONTH('交易与融资假设'!B12),DAY('交易与融资假设'!B12))</f>
        <v/>
      </c>
      <c r="I24" s="8">
        <f>DATE(YEAR('交易与融资假设'!B12)+6,MONTH('交易与融资假设'!B12),DAY('交易与融资假设'!B12))</f>
        <v/>
      </c>
      <c r="J24" s="8">
        <f>DATE(YEAR('交易与融资假设'!B12)+7,MONTH('交易与融资假设'!B12),DAY('交易与融资假设'!B12))</f>
        <v/>
      </c>
    </row>
    <row r="25">
      <c r="A25" s="8" t="inlineStr">
        <is>
          <t>Y6-8.50x</t>
        </is>
      </c>
      <c r="B25" s="8" t="inlineStr">
        <is>
          <t>现金流</t>
        </is>
      </c>
      <c r="C25" s="8">
        <f>-'Sources &amp; Uses'!D5</f>
        <v/>
      </c>
      <c r="D25" s="8">
        <f>'现金与利息'!M2-'经营预测'!H2</f>
        <v/>
      </c>
      <c r="E25" s="8">
        <f>'现金与利息'!M3-'经营预测'!H3</f>
        <v/>
      </c>
      <c r="F25" s="8">
        <f>'现金与利息'!M4-'经营预测'!H4</f>
        <v/>
      </c>
      <c r="G25" s="8">
        <f>'现金与利息'!M5-'经营预测'!H5</f>
        <v/>
      </c>
      <c r="H25" s="8">
        <f>'现金与利息'!M6-'经营预测'!H6</f>
        <v/>
      </c>
      <c r="I25" s="8">
        <f>'现金与利息'!M7-'经营预测'!H7+'退出回报'!K13</f>
        <v/>
      </c>
      <c r="J25" s="8">
        <f>'经营预测'!H8*0</f>
        <v/>
      </c>
    </row>
    <row r="26">
      <c r="A26" s="8" t="inlineStr">
        <is>
          <t>Y7-7.00x</t>
        </is>
      </c>
      <c r="B26" s="8" t="inlineStr">
        <is>
          <t>日期</t>
        </is>
      </c>
      <c r="C26" s="8">
        <f>'交易与融资假设'!B12</f>
        <v/>
      </c>
      <c r="D26" s="8">
        <f>DATE(YEAR('交易与融资假设'!B12)+1,MONTH('交易与融资假设'!B12),DAY('交易与融资假设'!B12))</f>
        <v/>
      </c>
      <c r="E26" s="8">
        <f>DATE(YEAR('交易与融资假设'!B12)+2,MONTH('交易与融资假设'!B12),DAY('交易与融资假设'!B12))</f>
        <v/>
      </c>
      <c r="F26" s="8">
        <f>DATE(YEAR('交易与融资假设'!B12)+3,MONTH('交易与融资假设'!B12),DAY('交易与融资假设'!B12))</f>
        <v/>
      </c>
      <c r="G26" s="8">
        <f>DATE(YEAR('交易与融资假设'!B12)+4,MONTH('交易与融资假设'!B12),DAY('交易与融资假设'!B12))</f>
        <v/>
      </c>
      <c r="H26" s="8">
        <f>DATE(YEAR('交易与融资假设'!B12)+5,MONTH('交易与融资假设'!B12),DAY('交易与融资假设'!B12))</f>
        <v/>
      </c>
      <c r="I26" s="8">
        <f>DATE(YEAR('交易与融资假设'!B12)+6,MONTH('交易与融资假设'!B12),DAY('交易与融资假设'!B12))</f>
        <v/>
      </c>
      <c r="J26" s="8">
        <f>DATE(YEAR('交易与融资假设'!B12)+7,MONTH('交易与融资假设'!B12),DAY('交易与融资假设'!B12))</f>
        <v/>
      </c>
    </row>
    <row r="27">
      <c r="A27" s="8" t="inlineStr">
        <is>
          <t>Y7-7.00x</t>
        </is>
      </c>
      <c r="B27" s="8" t="inlineStr">
        <is>
          <t>现金流</t>
        </is>
      </c>
      <c r="C27" s="8">
        <f>-'Sources &amp; Uses'!D5</f>
        <v/>
      </c>
      <c r="D27" s="8">
        <f>'现金与利息'!M2-'经营预测'!H2</f>
        <v/>
      </c>
      <c r="E27" s="8">
        <f>'现金与利息'!M3-'经营预测'!H3</f>
        <v/>
      </c>
      <c r="F27" s="8">
        <f>'现金与利息'!M4-'经营预测'!H4</f>
        <v/>
      </c>
      <c r="G27" s="8">
        <f>'现金与利息'!M5-'经营预测'!H5</f>
        <v/>
      </c>
      <c r="H27" s="8">
        <f>'现金与利息'!M6-'经营预测'!H6</f>
        <v/>
      </c>
      <c r="I27" s="8">
        <f>'现金与利息'!M7-'经营预测'!H7</f>
        <v/>
      </c>
      <c r="J27" s="8">
        <f>'现金与利息'!M8-'经营预测'!H8+'退出回报'!K14</f>
        <v/>
      </c>
    </row>
    <row r="28">
      <c r="A28" s="8" t="inlineStr">
        <is>
          <t>Y7-7.62x</t>
        </is>
      </c>
      <c r="B28" s="8" t="inlineStr">
        <is>
          <t>日期</t>
        </is>
      </c>
      <c r="C28" s="8">
        <f>'交易与融资假设'!B12</f>
        <v/>
      </c>
      <c r="D28" s="8">
        <f>DATE(YEAR('交易与融资假设'!B12)+1,MONTH('交易与融资假设'!B12),DAY('交易与融资假设'!B12))</f>
        <v/>
      </c>
      <c r="E28" s="8">
        <f>DATE(YEAR('交易与融资假设'!B12)+2,MONTH('交易与融资假设'!B12),DAY('交易与融资假设'!B12))</f>
        <v/>
      </c>
      <c r="F28" s="8">
        <f>DATE(YEAR('交易与融资假设'!B12)+3,MONTH('交易与融资假设'!B12),DAY('交易与融资假设'!B12))</f>
        <v/>
      </c>
      <c r="G28" s="8">
        <f>DATE(YEAR('交易与融资假设'!B12)+4,MONTH('交易与融资假设'!B12),DAY('交易与融资假设'!B12))</f>
        <v/>
      </c>
      <c r="H28" s="8">
        <f>DATE(YEAR('交易与融资假设'!B12)+5,MONTH('交易与融资假设'!B12),DAY('交易与融资假设'!B12))</f>
        <v/>
      </c>
      <c r="I28" s="8">
        <f>DATE(YEAR('交易与融资假设'!B12)+6,MONTH('交易与融资假设'!B12),DAY('交易与融资假设'!B12))</f>
        <v/>
      </c>
      <c r="J28" s="8">
        <f>DATE(YEAR('交易与融资假设'!B12)+7,MONTH('交易与融资假设'!B12),DAY('交易与融资假设'!B12))</f>
        <v/>
      </c>
    </row>
    <row r="29">
      <c r="A29" s="8" t="inlineStr">
        <is>
          <t>Y7-7.62x</t>
        </is>
      </c>
      <c r="B29" s="8" t="inlineStr">
        <is>
          <t>现金流</t>
        </is>
      </c>
      <c r="C29" s="8">
        <f>-'Sources &amp; Uses'!D5</f>
        <v/>
      </c>
      <c r="D29" s="8">
        <f>'现金与利息'!M2-'经营预测'!H2</f>
        <v/>
      </c>
      <c r="E29" s="8">
        <f>'现金与利息'!M3-'经营预测'!H3</f>
        <v/>
      </c>
      <c r="F29" s="8">
        <f>'现金与利息'!M4-'经营预测'!H4</f>
        <v/>
      </c>
      <c r="G29" s="8">
        <f>'现金与利息'!M5-'经营预测'!H5</f>
        <v/>
      </c>
      <c r="H29" s="8">
        <f>'现金与利息'!M6-'经营预测'!H6</f>
        <v/>
      </c>
      <c r="I29" s="8">
        <f>'现金与利息'!M7-'经营预测'!H7</f>
        <v/>
      </c>
      <c r="J29" s="8">
        <f>'现金与利息'!M8-'经营预测'!H8+'退出回报'!K15</f>
        <v/>
      </c>
    </row>
    <row r="30">
      <c r="A30" s="8" t="inlineStr">
        <is>
          <t>Y7-8.50x</t>
        </is>
      </c>
      <c r="B30" s="8" t="inlineStr">
        <is>
          <t>日期</t>
        </is>
      </c>
      <c r="C30" s="8">
        <f>'交易与融资假设'!B12</f>
        <v/>
      </c>
      <c r="D30" s="8">
        <f>DATE(YEAR('交易与融资假设'!B12)+1,MONTH('交易与融资假设'!B12),DAY('交易与融资假设'!B12))</f>
        <v/>
      </c>
      <c r="E30" s="8">
        <f>DATE(YEAR('交易与融资假设'!B12)+2,MONTH('交易与融资假设'!B12),DAY('交易与融资假设'!B12))</f>
        <v/>
      </c>
      <c r="F30" s="8">
        <f>DATE(YEAR('交易与融资假设'!B12)+3,MONTH('交易与融资假设'!B12),DAY('交易与融资假设'!B12))</f>
        <v/>
      </c>
      <c r="G30" s="8">
        <f>DATE(YEAR('交易与融资假设'!B12)+4,MONTH('交易与融资假设'!B12),DAY('交易与融资假设'!B12))</f>
        <v/>
      </c>
      <c r="H30" s="8">
        <f>DATE(YEAR('交易与融资假设'!B12)+5,MONTH('交易与融资假设'!B12),DAY('交易与融资假设'!B12))</f>
        <v/>
      </c>
      <c r="I30" s="8">
        <f>DATE(YEAR('交易与融资假设'!B12)+6,MONTH('交易与融资假设'!B12),DAY('交易与融资假设'!B12))</f>
        <v/>
      </c>
      <c r="J30" s="8">
        <f>DATE(YEAR('交易与融资假设'!B12)+7,MONTH('交易与融资假设'!B12),DAY('交易与融资假设'!B12))</f>
        <v/>
      </c>
    </row>
    <row r="31">
      <c r="A31" s="8" t="inlineStr">
        <is>
          <t>Y7-8.50x</t>
        </is>
      </c>
      <c r="B31" s="8" t="inlineStr">
        <is>
          <t>现金流</t>
        </is>
      </c>
      <c r="C31" s="8">
        <f>-'Sources &amp; Uses'!D5</f>
        <v/>
      </c>
      <c r="D31" s="8">
        <f>'现金与利息'!M2-'经营预测'!H2</f>
        <v/>
      </c>
      <c r="E31" s="8">
        <f>'现金与利息'!M3-'经营预测'!H3</f>
        <v/>
      </c>
      <c r="F31" s="8">
        <f>'现金与利息'!M4-'经营预测'!H4</f>
        <v/>
      </c>
      <c r="G31" s="8">
        <f>'现金与利息'!M5-'经营预测'!H5</f>
        <v/>
      </c>
      <c r="H31" s="8">
        <f>'现金与利息'!M6-'经营预测'!H6</f>
        <v/>
      </c>
      <c r="I31" s="8">
        <f>'现金与利息'!M7-'经营预测'!H7</f>
        <v/>
      </c>
      <c r="J31" s="8">
        <f>'现金与利息'!M8-'经营预测'!H8+'退出回报'!K16</f>
        <v/>
      </c>
    </row>
  </sheetData>
  <autoFilter ref="A1:J31"/>
  <printOptions horizontalCentered="1"/>
  <pageMargins left="0.25" right="0.25" top="0.4" bottom="0.4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7" customWidth="1" min="8" max="8"/>
    <col width="20" customWidth="1" min="9" max="9"/>
    <col width="20" customWidth="1" min="10" max="10"/>
    <col width="16" customWidth="1" min="11" max="11"/>
  </cols>
  <sheetData>
    <row r="1">
      <c r="A1" s="3" t="inlineStr">
        <is>
          <t>退出年</t>
        </is>
      </c>
      <c r="B1" s="3" t="inlineStr">
        <is>
          <t>退出倍数</t>
        </is>
      </c>
      <c r="C1" s="3" t="inlineStr">
        <is>
          <t>起始股权购买价</t>
        </is>
      </c>
      <c r="D1" s="3" t="inlineStr">
        <is>
          <t>EBITDA增长贡献</t>
        </is>
      </c>
      <c r="E1" s="3" t="inlineStr">
        <is>
          <t>倍数变化贡献</t>
        </is>
      </c>
      <c r="F1" s="3" t="inlineStr">
        <is>
          <t>净债务偿还贡献</t>
        </is>
      </c>
      <c r="G1" s="3" t="inlineStr">
        <is>
          <t>债务类调整变化</t>
        </is>
      </c>
      <c r="H1" s="3" t="inlineStr">
        <is>
          <t>退出费用影响</t>
        </is>
      </c>
      <c r="I1" s="3" t="inlineStr">
        <is>
          <t>预期退出股权价值</t>
        </is>
      </c>
      <c r="J1" s="3" t="inlineStr">
        <is>
          <t>实际退出股权价值</t>
        </is>
      </c>
      <c r="K1" s="3" t="inlineStr">
        <is>
          <t>勾稽差异</t>
        </is>
      </c>
    </row>
    <row r="2">
      <c r="A2" s="8">
        <f>'退出回报'!A2</f>
        <v/>
      </c>
      <c r="B2" s="8">
        <f>'退出回报'!B2</f>
        <v/>
      </c>
      <c r="C2" s="8">
        <f>'交易与融资假设'!B2</f>
        <v/>
      </c>
      <c r="D2" s="8">
        <f>('退出回报'!C2-'交易与融资假设'!B9)*'交易与融资假设'!B18</f>
        <v/>
      </c>
      <c r="E2" s="8">
        <f>'退出回报'!C2*('退出回报'!B2-'交易与融资假设'!B18)</f>
        <v/>
      </c>
      <c r="F2" s="8">
        <f>('交易与融资假设'!B3-'交易与融资假设'!B13)-'现金与利息'!K4</f>
        <v/>
      </c>
      <c r="G2" s="8">
        <f>('交易与融资假设'!B14+'交易与融资假设'!B15+'交易与融资假设'!B16)-'退出回报'!G2</f>
        <v/>
      </c>
      <c r="H2" s="8">
        <f>-'退出回报'!H2</f>
        <v/>
      </c>
      <c r="I2" s="8">
        <f>SUM(C2:H2)</f>
        <v/>
      </c>
      <c r="J2" s="8">
        <f>'退出回报'!I2</f>
        <v/>
      </c>
      <c r="K2" s="8">
        <f>J2-I2</f>
        <v/>
      </c>
    </row>
    <row r="3">
      <c r="A3" s="8">
        <f>'退出回报'!A3</f>
        <v/>
      </c>
      <c r="B3" s="8">
        <f>'退出回报'!B3</f>
        <v/>
      </c>
      <c r="C3" s="8">
        <f>'交易与融资假设'!B2</f>
        <v/>
      </c>
      <c r="D3" s="8">
        <f>('退出回报'!C3-'交易与融资假设'!B9)*'交易与融资假设'!B18</f>
        <v/>
      </c>
      <c r="E3" s="8">
        <f>'退出回报'!C3*('退出回报'!B3-'交易与融资假设'!B18)</f>
        <v/>
      </c>
      <c r="F3" s="8">
        <f>('交易与融资假设'!B3-'交易与融资假设'!B13)-'现金与利息'!K4</f>
        <v/>
      </c>
      <c r="G3" s="8">
        <f>('交易与融资假设'!B14+'交易与融资假设'!B15+'交易与融资假设'!B16)-'退出回报'!G3</f>
        <v/>
      </c>
      <c r="H3" s="8">
        <f>-'退出回报'!H3</f>
        <v/>
      </c>
      <c r="I3" s="8">
        <f>SUM(C3:H3)</f>
        <v/>
      </c>
      <c r="J3" s="8">
        <f>'退出回报'!I3</f>
        <v/>
      </c>
      <c r="K3" s="8">
        <f>J3-I3</f>
        <v/>
      </c>
    </row>
    <row r="4">
      <c r="A4" s="8">
        <f>'退出回报'!A4</f>
        <v/>
      </c>
      <c r="B4" s="8">
        <f>'退出回报'!B4</f>
        <v/>
      </c>
      <c r="C4" s="8">
        <f>'交易与融资假设'!B2</f>
        <v/>
      </c>
      <c r="D4" s="8">
        <f>('退出回报'!C4-'交易与融资假设'!B9)*'交易与融资假设'!B18</f>
        <v/>
      </c>
      <c r="E4" s="8">
        <f>'退出回报'!C4*('退出回报'!B4-'交易与融资假设'!B18)</f>
        <v/>
      </c>
      <c r="F4" s="8">
        <f>('交易与融资假设'!B3-'交易与融资假设'!B13)-'现金与利息'!K4</f>
        <v/>
      </c>
      <c r="G4" s="8">
        <f>('交易与融资假设'!B14+'交易与融资假设'!B15+'交易与融资假设'!B16)-'退出回报'!G4</f>
        <v/>
      </c>
      <c r="H4" s="8">
        <f>-'退出回报'!H4</f>
        <v/>
      </c>
      <c r="I4" s="8">
        <f>SUM(C4:H4)</f>
        <v/>
      </c>
      <c r="J4" s="8">
        <f>'退出回报'!I4</f>
        <v/>
      </c>
      <c r="K4" s="8">
        <f>J4-I4</f>
        <v/>
      </c>
    </row>
    <row r="5">
      <c r="A5" s="8">
        <f>'退出回报'!A5</f>
        <v/>
      </c>
      <c r="B5" s="8">
        <f>'退出回报'!B5</f>
        <v/>
      </c>
      <c r="C5" s="8">
        <f>'交易与融资假设'!B2</f>
        <v/>
      </c>
      <c r="D5" s="8">
        <f>('退出回报'!C5-'交易与融资假设'!B9)*'交易与融资假设'!B18</f>
        <v/>
      </c>
      <c r="E5" s="8">
        <f>'退出回报'!C5*('退出回报'!B5-'交易与融资假设'!B18)</f>
        <v/>
      </c>
      <c r="F5" s="8">
        <f>('交易与融资假设'!B3-'交易与融资假设'!B13)-'现金与利息'!K5</f>
        <v/>
      </c>
      <c r="G5" s="8">
        <f>('交易与融资假设'!B14+'交易与融资假设'!B15+'交易与融资假设'!B16)-'退出回报'!G5</f>
        <v/>
      </c>
      <c r="H5" s="8">
        <f>-'退出回报'!H5</f>
        <v/>
      </c>
      <c r="I5" s="8">
        <f>SUM(C5:H5)</f>
        <v/>
      </c>
      <c r="J5" s="8">
        <f>'退出回报'!I5</f>
        <v/>
      </c>
      <c r="K5" s="8">
        <f>J5-I5</f>
        <v/>
      </c>
    </row>
    <row r="6">
      <c r="A6" s="8">
        <f>'退出回报'!A6</f>
        <v/>
      </c>
      <c r="B6" s="8">
        <f>'退出回报'!B6</f>
        <v/>
      </c>
      <c r="C6" s="8">
        <f>'交易与融资假设'!B2</f>
        <v/>
      </c>
      <c r="D6" s="8">
        <f>('退出回报'!C6-'交易与融资假设'!B9)*'交易与融资假设'!B18</f>
        <v/>
      </c>
      <c r="E6" s="8">
        <f>'退出回报'!C6*('退出回报'!B6-'交易与融资假设'!B18)</f>
        <v/>
      </c>
      <c r="F6" s="8">
        <f>('交易与融资假设'!B3-'交易与融资假设'!B13)-'现金与利息'!K5</f>
        <v/>
      </c>
      <c r="G6" s="8">
        <f>('交易与融资假设'!B14+'交易与融资假设'!B15+'交易与融资假设'!B16)-'退出回报'!G6</f>
        <v/>
      </c>
      <c r="H6" s="8">
        <f>-'退出回报'!H6</f>
        <v/>
      </c>
      <c r="I6" s="8">
        <f>SUM(C6:H6)</f>
        <v/>
      </c>
      <c r="J6" s="8">
        <f>'退出回报'!I6</f>
        <v/>
      </c>
      <c r="K6" s="8">
        <f>J6-I6</f>
        <v/>
      </c>
    </row>
    <row r="7">
      <c r="A7" s="8">
        <f>'退出回报'!A7</f>
        <v/>
      </c>
      <c r="B7" s="8">
        <f>'退出回报'!B7</f>
        <v/>
      </c>
      <c r="C7" s="8">
        <f>'交易与融资假设'!B2</f>
        <v/>
      </c>
      <c r="D7" s="8">
        <f>('退出回报'!C7-'交易与融资假设'!B9)*'交易与融资假设'!B18</f>
        <v/>
      </c>
      <c r="E7" s="8">
        <f>'退出回报'!C7*('退出回报'!B7-'交易与融资假设'!B18)</f>
        <v/>
      </c>
      <c r="F7" s="8">
        <f>('交易与融资假设'!B3-'交易与融资假设'!B13)-'现金与利息'!K5</f>
        <v/>
      </c>
      <c r="G7" s="8">
        <f>('交易与融资假设'!B14+'交易与融资假设'!B15+'交易与融资假设'!B16)-'退出回报'!G7</f>
        <v/>
      </c>
      <c r="H7" s="8">
        <f>-'退出回报'!H7</f>
        <v/>
      </c>
      <c r="I7" s="8">
        <f>SUM(C7:H7)</f>
        <v/>
      </c>
      <c r="J7" s="8">
        <f>'退出回报'!I7</f>
        <v/>
      </c>
      <c r="K7" s="8">
        <f>J7-I7</f>
        <v/>
      </c>
    </row>
    <row r="8">
      <c r="A8" s="8">
        <f>'退出回报'!A8</f>
        <v/>
      </c>
      <c r="B8" s="8">
        <f>'退出回报'!B8</f>
        <v/>
      </c>
      <c r="C8" s="8">
        <f>'交易与融资假设'!B2</f>
        <v/>
      </c>
      <c r="D8" s="8">
        <f>('退出回报'!C8-'交易与融资假设'!B9)*'交易与融资假设'!B18</f>
        <v/>
      </c>
      <c r="E8" s="8">
        <f>'退出回报'!C8*('退出回报'!B8-'交易与融资假设'!B18)</f>
        <v/>
      </c>
      <c r="F8" s="8">
        <f>('交易与融资假设'!B3-'交易与融资假设'!B13)-'现金与利息'!K6</f>
        <v/>
      </c>
      <c r="G8" s="8">
        <f>('交易与融资假设'!B14+'交易与融资假设'!B15+'交易与融资假设'!B16)-'退出回报'!G8</f>
        <v/>
      </c>
      <c r="H8" s="8">
        <f>-'退出回报'!H8</f>
        <v/>
      </c>
      <c r="I8" s="8">
        <f>SUM(C8:H8)</f>
        <v/>
      </c>
      <c r="J8" s="8">
        <f>'退出回报'!I8</f>
        <v/>
      </c>
      <c r="K8" s="8">
        <f>J8-I8</f>
        <v/>
      </c>
    </row>
    <row r="9">
      <c r="A9" s="8">
        <f>'退出回报'!A9</f>
        <v/>
      </c>
      <c r="B9" s="8">
        <f>'退出回报'!B9</f>
        <v/>
      </c>
      <c r="C9" s="8">
        <f>'交易与融资假设'!B2</f>
        <v/>
      </c>
      <c r="D9" s="8">
        <f>('退出回报'!C9-'交易与融资假设'!B9)*'交易与融资假设'!B18</f>
        <v/>
      </c>
      <c r="E9" s="8">
        <f>'退出回报'!C9*('退出回报'!B9-'交易与融资假设'!B18)</f>
        <v/>
      </c>
      <c r="F9" s="8">
        <f>('交易与融资假设'!B3-'交易与融资假设'!B13)-'现金与利息'!K6</f>
        <v/>
      </c>
      <c r="G9" s="8">
        <f>('交易与融资假设'!B14+'交易与融资假设'!B15+'交易与融资假设'!B16)-'退出回报'!G9</f>
        <v/>
      </c>
      <c r="H9" s="8">
        <f>-'退出回报'!H9</f>
        <v/>
      </c>
      <c r="I9" s="8">
        <f>SUM(C9:H9)</f>
        <v/>
      </c>
      <c r="J9" s="8">
        <f>'退出回报'!I9</f>
        <v/>
      </c>
      <c r="K9" s="8">
        <f>J9-I9</f>
        <v/>
      </c>
    </row>
    <row r="10">
      <c r="A10" s="8">
        <f>'退出回报'!A10</f>
        <v/>
      </c>
      <c r="B10" s="8">
        <f>'退出回报'!B10</f>
        <v/>
      </c>
      <c r="C10" s="8">
        <f>'交易与融资假设'!B2</f>
        <v/>
      </c>
      <c r="D10" s="8">
        <f>('退出回报'!C10-'交易与融资假设'!B9)*'交易与融资假设'!B18</f>
        <v/>
      </c>
      <c r="E10" s="8">
        <f>'退出回报'!C10*('退出回报'!B10-'交易与融资假设'!B18)</f>
        <v/>
      </c>
      <c r="F10" s="8">
        <f>('交易与融资假设'!B3-'交易与融资假设'!B13)-'现金与利息'!K6</f>
        <v/>
      </c>
      <c r="G10" s="8">
        <f>('交易与融资假设'!B14+'交易与融资假设'!B15+'交易与融资假设'!B16)-'退出回报'!G10</f>
        <v/>
      </c>
      <c r="H10" s="8">
        <f>-'退出回报'!H10</f>
        <v/>
      </c>
      <c r="I10" s="8">
        <f>SUM(C10:H10)</f>
        <v/>
      </c>
      <c r="J10" s="8">
        <f>'退出回报'!I10</f>
        <v/>
      </c>
      <c r="K10" s="8">
        <f>J10-I10</f>
        <v/>
      </c>
    </row>
    <row r="11">
      <c r="A11" s="8">
        <f>'退出回报'!A11</f>
        <v/>
      </c>
      <c r="B11" s="8">
        <f>'退出回报'!B11</f>
        <v/>
      </c>
      <c r="C11" s="8">
        <f>'交易与融资假设'!B2</f>
        <v/>
      </c>
      <c r="D11" s="8">
        <f>('退出回报'!C11-'交易与融资假设'!B9)*'交易与融资假设'!B18</f>
        <v/>
      </c>
      <c r="E11" s="8">
        <f>'退出回报'!C11*('退出回报'!B11-'交易与融资假设'!B18)</f>
        <v/>
      </c>
      <c r="F11" s="8">
        <f>('交易与融资假设'!B3-'交易与融资假设'!B13)-'现金与利息'!K7</f>
        <v/>
      </c>
      <c r="G11" s="8">
        <f>('交易与融资假设'!B14+'交易与融资假设'!B15+'交易与融资假设'!B16)-'退出回报'!G11</f>
        <v/>
      </c>
      <c r="H11" s="8">
        <f>-'退出回报'!H11</f>
        <v/>
      </c>
      <c r="I11" s="8">
        <f>SUM(C11:H11)</f>
        <v/>
      </c>
      <c r="J11" s="8">
        <f>'退出回报'!I11</f>
        <v/>
      </c>
      <c r="K11" s="8">
        <f>J11-I11</f>
        <v/>
      </c>
    </row>
    <row r="12">
      <c r="A12" s="8">
        <f>'退出回报'!A12</f>
        <v/>
      </c>
      <c r="B12" s="8">
        <f>'退出回报'!B12</f>
        <v/>
      </c>
      <c r="C12" s="8">
        <f>'交易与融资假设'!B2</f>
        <v/>
      </c>
      <c r="D12" s="8">
        <f>('退出回报'!C12-'交易与融资假设'!B9)*'交易与融资假设'!B18</f>
        <v/>
      </c>
      <c r="E12" s="8">
        <f>'退出回报'!C12*('退出回报'!B12-'交易与融资假设'!B18)</f>
        <v/>
      </c>
      <c r="F12" s="8">
        <f>('交易与融资假设'!B3-'交易与融资假设'!B13)-'现金与利息'!K7</f>
        <v/>
      </c>
      <c r="G12" s="8">
        <f>('交易与融资假设'!B14+'交易与融资假设'!B15+'交易与融资假设'!B16)-'退出回报'!G12</f>
        <v/>
      </c>
      <c r="H12" s="8">
        <f>-'退出回报'!H12</f>
        <v/>
      </c>
      <c r="I12" s="8">
        <f>SUM(C12:H12)</f>
        <v/>
      </c>
      <c r="J12" s="8">
        <f>'退出回报'!I12</f>
        <v/>
      </c>
      <c r="K12" s="8">
        <f>J12-I12</f>
        <v/>
      </c>
    </row>
    <row r="13">
      <c r="A13" s="8">
        <f>'退出回报'!A13</f>
        <v/>
      </c>
      <c r="B13" s="8">
        <f>'退出回报'!B13</f>
        <v/>
      </c>
      <c r="C13" s="8">
        <f>'交易与融资假设'!B2</f>
        <v/>
      </c>
      <c r="D13" s="8">
        <f>('退出回报'!C13-'交易与融资假设'!B9)*'交易与融资假设'!B18</f>
        <v/>
      </c>
      <c r="E13" s="8">
        <f>'退出回报'!C13*('退出回报'!B13-'交易与融资假设'!B18)</f>
        <v/>
      </c>
      <c r="F13" s="8">
        <f>('交易与融资假设'!B3-'交易与融资假设'!B13)-'现金与利息'!K7</f>
        <v/>
      </c>
      <c r="G13" s="8">
        <f>('交易与融资假设'!B14+'交易与融资假设'!B15+'交易与融资假设'!B16)-'退出回报'!G13</f>
        <v/>
      </c>
      <c r="H13" s="8">
        <f>-'退出回报'!H13</f>
        <v/>
      </c>
      <c r="I13" s="8">
        <f>SUM(C13:H13)</f>
        <v/>
      </c>
      <c r="J13" s="8">
        <f>'退出回报'!I13</f>
        <v/>
      </c>
      <c r="K13" s="8">
        <f>J13-I13</f>
        <v/>
      </c>
    </row>
    <row r="14">
      <c r="A14" s="8">
        <f>'退出回报'!A14</f>
        <v/>
      </c>
      <c r="B14" s="8">
        <f>'退出回报'!B14</f>
        <v/>
      </c>
      <c r="C14" s="8">
        <f>'交易与融资假设'!B2</f>
        <v/>
      </c>
      <c r="D14" s="8">
        <f>('退出回报'!C14-'交易与融资假设'!B9)*'交易与融资假设'!B18</f>
        <v/>
      </c>
      <c r="E14" s="8">
        <f>'退出回报'!C14*('退出回报'!B14-'交易与融资假设'!B18)</f>
        <v/>
      </c>
      <c r="F14" s="8">
        <f>('交易与融资假设'!B3-'交易与融资假设'!B13)-'现金与利息'!K8</f>
        <v/>
      </c>
      <c r="G14" s="8">
        <f>('交易与融资假设'!B14+'交易与融资假设'!B15+'交易与融资假设'!B16)-'退出回报'!G14</f>
        <v/>
      </c>
      <c r="H14" s="8">
        <f>-'退出回报'!H14</f>
        <v/>
      </c>
      <c r="I14" s="8">
        <f>SUM(C14:H14)</f>
        <v/>
      </c>
      <c r="J14" s="8">
        <f>'退出回报'!I14</f>
        <v/>
      </c>
      <c r="K14" s="8">
        <f>J14-I14</f>
        <v/>
      </c>
    </row>
    <row r="15">
      <c r="A15" s="8">
        <f>'退出回报'!A15</f>
        <v/>
      </c>
      <c r="B15" s="8">
        <f>'退出回报'!B15</f>
        <v/>
      </c>
      <c r="C15" s="8">
        <f>'交易与融资假设'!B2</f>
        <v/>
      </c>
      <c r="D15" s="8">
        <f>('退出回报'!C15-'交易与融资假设'!B9)*'交易与融资假设'!B18</f>
        <v/>
      </c>
      <c r="E15" s="8">
        <f>'退出回报'!C15*('退出回报'!B15-'交易与融资假设'!B18)</f>
        <v/>
      </c>
      <c r="F15" s="8">
        <f>('交易与融资假设'!B3-'交易与融资假设'!B13)-'现金与利息'!K8</f>
        <v/>
      </c>
      <c r="G15" s="8">
        <f>('交易与融资假设'!B14+'交易与融资假设'!B15+'交易与融资假设'!B16)-'退出回报'!G15</f>
        <v/>
      </c>
      <c r="H15" s="8">
        <f>-'退出回报'!H15</f>
        <v/>
      </c>
      <c r="I15" s="8">
        <f>SUM(C15:H15)</f>
        <v/>
      </c>
      <c r="J15" s="8">
        <f>'退出回报'!I15</f>
        <v/>
      </c>
      <c r="K15" s="8">
        <f>J15-I15</f>
        <v/>
      </c>
    </row>
    <row r="16">
      <c r="A16" s="8">
        <f>'退出回报'!A16</f>
        <v/>
      </c>
      <c r="B16" s="8">
        <f>'退出回报'!B16</f>
        <v/>
      </c>
      <c r="C16" s="8">
        <f>'交易与融资假设'!B2</f>
        <v/>
      </c>
      <c r="D16" s="8">
        <f>('退出回报'!C16-'交易与融资假设'!B9)*'交易与融资假设'!B18</f>
        <v/>
      </c>
      <c r="E16" s="8">
        <f>'退出回报'!C16*('退出回报'!B16-'交易与融资假设'!B18)</f>
        <v/>
      </c>
      <c r="F16" s="8">
        <f>('交易与融资假设'!B3-'交易与融资假设'!B13)-'现金与利息'!K8</f>
        <v/>
      </c>
      <c r="G16" s="8">
        <f>('交易与融资假设'!B14+'交易与融资假设'!B15+'交易与融资假设'!B16)-'退出回报'!G16</f>
        <v/>
      </c>
      <c r="H16" s="8">
        <f>-'退出回报'!H16</f>
        <v/>
      </c>
      <c r="I16" s="8">
        <f>SUM(C16:H16)</f>
        <v/>
      </c>
      <c r="J16" s="8">
        <f>'退出回报'!I16</f>
        <v/>
      </c>
      <c r="K16" s="8">
        <f>J16-I16</f>
        <v/>
      </c>
    </row>
  </sheetData>
  <autoFilter ref="A1:K16"/>
  <printOptions horizontalCentered="1"/>
  <pageMargins left="0.25" right="0.25" top="0.4" bottom="0.4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收购价因子/退出倍数</t>
        </is>
      </c>
      <c r="B1" s="3" t="n">
        <v>6.100000000000001</v>
      </c>
      <c r="C1" s="3" t="n">
        <v>6.8625</v>
      </c>
      <c r="D1" s="3" t="n">
        <v>7.625</v>
      </c>
      <c r="E1" s="3" t="n">
        <v>8.387500000000001</v>
      </c>
      <c r="F1" s="3" t="n">
        <v>9.15</v>
      </c>
    </row>
    <row r="2">
      <c r="A2" s="14" t="n">
        <v>0.8</v>
      </c>
      <c r="B2" s="13">
        <f>IFERROR((MAX(0,'退出回报'!C9*B1-'退出回报'!E9+'退出回报'!F9-'退出回报'!G9-'退出回报'!C9*B1*'交易与融资假设'!B10)*(('Sources &amp; Uses'!D5+'交易与融资假设'!B2*($A2-1))/(('Sources &amp; Uses'!D5+'交易与融资假设'!B2*($A2-1))+'交易与融资假设'!B8)))/(('Sources &amp; Uses'!D5+'交易与融资假设'!B2*($A2-1))),"")</f>
        <v/>
      </c>
      <c r="C2" s="13">
        <f>IFERROR((MAX(0,'退出回报'!C9*C1-'退出回报'!E9+'退出回报'!F9-'退出回报'!G9-'退出回报'!C9*C1*'交易与融资假设'!B10)*(('Sources &amp; Uses'!D5+'交易与融资假设'!B2*($A2-1))/(('Sources &amp; Uses'!D5+'交易与融资假设'!B2*($A2-1))+'交易与融资假设'!B8)))/(('Sources &amp; Uses'!D5+'交易与融资假设'!B2*($A2-1))),"")</f>
        <v/>
      </c>
      <c r="D2" s="13">
        <f>IFERROR((MAX(0,'退出回报'!C9*D1-'退出回报'!E9+'退出回报'!F9-'退出回报'!G9-'退出回报'!C9*D1*'交易与融资假设'!B10)*(('Sources &amp; Uses'!D5+'交易与融资假设'!B2*($A2-1))/(('Sources &amp; Uses'!D5+'交易与融资假设'!B2*($A2-1))+'交易与融资假设'!B8)))/(('Sources &amp; Uses'!D5+'交易与融资假设'!B2*($A2-1))),"")</f>
        <v/>
      </c>
      <c r="E2" s="13">
        <f>IFERROR((MAX(0,'退出回报'!C9*E1-'退出回报'!E9+'退出回报'!F9-'退出回报'!G9-'退出回报'!C9*E1*'交易与融资假设'!B10)*(('Sources &amp; Uses'!D5+'交易与融资假设'!B2*($A2-1))/(('Sources &amp; Uses'!D5+'交易与融资假设'!B2*($A2-1))+'交易与融资假设'!B8)))/(('Sources &amp; Uses'!D5+'交易与融资假设'!B2*($A2-1))),"")</f>
        <v/>
      </c>
      <c r="F2" s="13">
        <f>IFERROR((MAX(0,'退出回报'!C9*F1-'退出回报'!E9+'退出回报'!F9-'退出回报'!G9-'退出回报'!C9*F1*'交易与融资假设'!B10)*(('Sources &amp; Uses'!D5+'交易与融资假设'!B2*($A2-1))/(('Sources &amp; Uses'!D5+'交易与融资假设'!B2*($A2-1))+'交易与融资假设'!B8)))/(('Sources &amp; Uses'!D5+'交易与融资假设'!B2*($A2-1))),"")</f>
        <v/>
      </c>
    </row>
    <row r="3">
      <c r="A3" s="14" t="n">
        <v>0.9</v>
      </c>
      <c r="B3" s="13">
        <f>IFERROR((MAX(0,'退出回报'!C9*B1-'退出回报'!E9+'退出回报'!F9-'退出回报'!G9-'退出回报'!C9*B1*'交易与融资假设'!B10)*(('Sources &amp; Uses'!D5+'交易与融资假设'!B2*($A3-1))/(('Sources &amp; Uses'!D5+'交易与融资假设'!B2*($A3-1))+'交易与融资假设'!B8)))/(('Sources &amp; Uses'!D5+'交易与融资假设'!B2*($A3-1))),"")</f>
        <v/>
      </c>
      <c r="C3" s="13">
        <f>IFERROR((MAX(0,'退出回报'!C9*C1-'退出回报'!E9+'退出回报'!F9-'退出回报'!G9-'退出回报'!C9*C1*'交易与融资假设'!B10)*(('Sources &amp; Uses'!D5+'交易与融资假设'!B2*($A3-1))/(('Sources &amp; Uses'!D5+'交易与融资假设'!B2*($A3-1))+'交易与融资假设'!B8)))/(('Sources &amp; Uses'!D5+'交易与融资假设'!B2*($A3-1))),"")</f>
        <v/>
      </c>
      <c r="D3" s="13">
        <f>IFERROR((MAX(0,'退出回报'!C9*D1-'退出回报'!E9+'退出回报'!F9-'退出回报'!G9-'退出回报'!C9*D1*'交易与融资假设'!B10)*(('Sources &amp; Uses'!D5+'交易与融资假设'!B2*($A3-1))/(('Sources &amp; Uses'!D5+'交易与融资假设'!B2*($A3-1))+'交易与融资假设'!B8)))/(('Sources &amp; Uses'!D5+'交易与融资假设'!B2*($A3-1))),"")</f>
        <v/>
      </c>
      <c r="E3" s="13">
        <f>IFERROR((MAX(0,'退出回报'!C9*E1-'退出回报'!E9+'退出回报'!F9-'退出回报'!G9-'退出回报'!C9*E1*'交易与融资假设'!B10)*(('Sources &amp; Uses'!D5+'交易与融资假设'!B2*($A3-1))/(('Sources &amp; Uses'!D5+'交易与融资假设'!B2*($A3-1))+'交易与融资假设'!B8)))/(('Sources &amp; Uses'!D5+'交易与融资假设'!B2*($A3-1))),"")</f>
        <v/>
      </c>
      <c r="F3" s="13">
        <f>IFERROR((MAX(0,'退出回报'!C9*F1-'退出回报'!E9+'退出回报'!F9-'退出回报'!G9-'退出回报'!C9*F1*'交易与融资假设'!B10)*(('Sources &amp; Uses'!D5+'交易与融资假设'!B2*($A3-1))/(('Sources &amp; Uses'!D5+'交易与融资假设'!B2*($A3-1))+'交易与融资假设'!B8)))/(('Sources &amp; Uses'!D5+'交易与融资假设'!B2*($A3-1))),"")</f>
        <v/>
      </c>
    </row>
    <row r="4">
      <c r="A4" s="14" t="n">
        <v>1</v>
      </c>
      <c r="B4" s="13">
        <f>IFERROR((MAX(0,'退出回报'!C9*B1-'退出回报'!E9+'退出回报'!F9-'退出回报'!G9-'退出回报'!C9*B1*'交易与融资假设'!B10)*(('Sources &amp; Uses'!D5+'交易与融资假设'!B2*($A4-1))/(('Sources &amp; Uses'!D5+'交易与融资假设'!B2*($A4-1))+'交易与融资假设'!B8)))/(('Sources &amp; Uses'!D5+'交易与融资假设'!B2*($A4-1))),"")</f>
        <v/>
      </c>
      <c r="C4" s="13">
        <f>IFERROR((MAX(0,'退出回报'!C9*C1-'退出回报'!E9+'退出回报'!F9-'退出回报'!G9-'退出回报'!C9*C1*'交易与融资假设'!B10)*(('Sources &amp; Uses'!D5+'交易与融资假设'!B2*($A4-1))/(('Sources &amp; Uses'!D5+'交易与融资假设'!B2*($A4-1))+'交易与融资假设'!B8)))/(('Sources &amp; Uses'!D5+'交易与融资假设'!B2*($A4-1))),"")</f>
        <v/>
      </c>
      <c r="D4" s="13">
        <f>IFERROR((MAX(0,'退出回报'!C9*D1-'退出回报'!E9+'退出回报'!F9-'退出回报'!G9-'退出回报'!C9*D1*'交易与融资假设'!B10)*(('Sources &amp; Uses'!D5+'交易与融资假设'!B2*($A4-1))/(('Sources &amp; Uses'!D5+'交易与融资假设'!B2*($A4-1))+'交易与融资假设'!B8)))/(('Sources &amp; Uses'!D5+'交易与融资假设'!B2*($A4-1))),"")</f>
        <v/>
      </c>
      <c r="E4" s="13">
        <f>IFERROR((MAX(0,'退出回报'!C9*E1-'退出回报'!E9+'退出回报'!F9-'退出回报'!G9-'退出回报'!C9*E1*'交易与融资假设'!B10)*(('Sources &amp; Uses'!D5+'交易与融资假设'!B2*($A4-1))/(('Sources &amp; Uses'!D5+'交易与融资假设'!B2*($A4-1))+'交易与融资假设'!B8)))/(('Sources &amp; Uses'!D5+'交易与融资假设'!B2*($A4-1))),"")</f>
        <v/>
      </c>
      <c r="F4" s="13">
        <f>IFERROR((MAX(0,'退出回报'!C9*F1-'退出回报'!E9+'退出回报'!F9-'退出回报'!G9-'退出回报'!C9*F1*'交易与融资假设'!B10)*(('Sources &amp; Uses'!D5+'交易与融资假设'!B2*($A4-1))/(('Sources &amp; Uses'!D5+'交易与融资假设'!B2*($A4-1))+'交易与融资假设'!B8)))/(('Sources &amp; Uses'!D5+'交易与融资假设'!B2*($A4-1))),"")</f>
        <v/>
      </c>
    </row>
    <row r="5">
      <c r="A5" s="14" t="n">
        <v>1.1</v>
      </c>
      <c r="B5" s="13">
        <f>IFERROR((MAX(0,'退出回报'!C9*B1-'退出回报'!E9+'退出回报'!F9-'退出回报'!G9-'退出回报'!C9*B1*'交易与融资假设'!B10)*(('Sources &amp; Uses'!D5+'交易与融资假设'!B2*($A5-1))/(('Sources &amp; Uses'!D5+'交易与融资假设'!B2*($A5-1))+'交易与融资假设'!B8)))/(('Sources &amp; Uses'!D5+'交易与融资假设'!B2*($A5-1))),"")</f>
        <v/>
      </c>
      <c r="C5" s="13">
        <f>IFERROR((MAX(0,'退出回报'!C9*C1-'退出回报'!E9+'退出回报'!F9-'退出回报'!G9-'退出回报'!C9*C1*'交易与融资假设'!B10)*(('Sources &amp; Uses'!D5+'交易与融资假设'!B2*($A5-1))/(('Sources &amp; Uses'!D5+'交易与融资假设'!B2*($A5-1))+'交易与融资假设'!B8)))/(('Sources &amp; Uses'!D5+'交易与融资假设'!B2*($A5-1))),"")</f>
        <v/>
      </c>
      <c r="D5" s="13">
        <f>IFERROR((MAX(0,'退出回报'!C9*D1-'退出回报'!E9+'退出回报'!F9-'退出回报'!G9-'退出回报'!C9*D1*'交易与融资假设'!B10)*(('Sources &amp; Uses'!D5+'交易与融资假设'!B2*($A5-1))/(('Sources &amp; Uses'!D5+'交易与融资假设'!B2*($A5-1))+'交易与融资假设'!B8)))/(('Sources &amp; Uses'!D5+'交易与融资假设'!B2*($A5-1))),"")</f>
        <v/>
      </c>
      <c r="E5" s="13">
        <f>IFERROR((MAX(0,'退出回报'!C9*E1-'退出回报'!E9+'退出回报'!F9-'退出回报'!G9-'退出回报'!C9*E1*'交易与融资假设'!B10)*(('Sources &amp; Uses'!D5+'交易与融资假设'!B2*($A5-1))/(('Sources &amp; Uses'!D5+'交易与融资假设'!B2*($A5-1))+'交易与融资假设'!B8)))/(('Sources &amp; Uses'!D5+'交易与融资假设'!B2*($A5-1))),"")</f>
        <v/>
      </c>
      <c r="F5" s="13">
        <f>IFERROR((MAX(0,'退出回报'!C9*F1-'退出回报'!E9+'退出回报'!F9-'退出回报'!G9-'退出回报'!C9*F1*'交易与融资假设'!B10)*(('Sources &amp; Uses'!D5+'交易与融资假设'!B2*($A5-1))/(('Sources &amp; Uses'!D5+'交易与融资假设'!B2*($A5-1))+'交易与融资假设'!B8)))/(('Sources &amp; Uses'!D5+'交易与融资假设'!B2*($A5-1))),"")</f>
        <v/>
      </c>
    </row>
    <row r="6">
      <c r="A6" s="14" t="n">
        <v>1.2</v>
      </c>
      <c r="B6" s="13">
        <f>IFERROR((MAX(0,'退出回报'!C9*B1-'退出回报'!E9+'退出回报'!F9-'退出回报'!G9-'退出回报'!C9*B1*'交易与融资假设'!B10)*(('Sources &amp; Uses'!D5+'交易与融资假设'!B2*($A6-1))/(('Sources &amp; Uses'!D5+'交易与融资假设'!B2*($A6-1))+'交易与融资假设'!B8)))/(('Sources &amp; Uses'!D5+'交易与融资假设'!B2*($A6-1))),"")</f>
        <v/>
      </c>
      <c r="C6" s="13">
        <f>IFERROR((MAX(0,'退出回报'!C9*C1-'退出回报'!E9+'退出回报'!F9-'退出回报'!G9-'退出回报'!C9*C1*'交易与融资假设'!B10)*(('Sources &amp; Uses'!D5+'交易与融资假设'!B2*($A6-1))/(('Sources &amp; Uses'!D5+'交易与融资假设'!B2*($A6-1))+'交易与融资假设'!B8)))/(('Sources &amp; Uses'!D5+'交易与融资假设'!B2*($A6-1))),"")</f>
        <v/>
      </c>
      <c r="D6" s="13">
        <f>IFERROR((MAX(0,'退出回报'!C9*D1-'退出回报'!E9+'退出回报'!F9-'退出回报'!G9-'退出回报'!C9*D1*'交易与融资假设'!B10)*(('Sources &amp; Uses'!D5+'交易与融资假设'!B2*($A6-1))/(('Sources &amp; Uses'!D5+'交易与融资假设'!B2*($A6-1))+'交易与融资假设'!B8)))/(('Sources &amp; Uses'!D5+'交易与融资假设'!B2*($A6-1))),"")</f>
        <v/>
      </c>
      <c r="E6" s="13">
        <f>IFERROR((MAX(0,'退出回报'!C9*E1-'退出回报'!E9+'退出回报'!F9-'退出回报'!G9-'退出回报'!C9*E1*'交易与融资假设'!B10)*(('Sources &amp; Uses'!D5+'交易与融资假设'!B2*($A6-1))/(('Sources &amp; Uses'!D5+'交易与融资假设'!B2*($A6-1))+'交易与融资假设'!B8)))/(('Sources &amp; Uses'!D5+'交易与融资假设'!B2*($A6-1))),"")</f>
        <v/>
      </c>
      <c r="F6" s="13">
        <f>IFERROR((MAX(0,'退出回报'!C9*F1-'退出回报'!E9+'退出回报'!F9-'退出回报'!G9-'退出回报'!C9*F1*'交易与融资假设'!B10)*(('Sources &amp; Uses'!D5+'交易与融资假设'!B2*($A6-1))/(('Sources &amp; Uses'!D5+'交易与融资假设'!B2*($A6-1))+'交易与融资假设'!B8)))/(('Sources &amp; Uses'!D5+'交易与融资假设'!B2*($A6-1))),"")</f>
        <v/>
      </c>
    </row>
    <row r="7">
      <c r="A7" s="8" t="n"/>
      <c r="B7" s="8" t="n"/>
      <c r="C7" s="8" t="n"/>
      <c r="D7" s="8" t="n"/>
      <c r="E7" s="8" t="n"/>
      <c r="F7" s="8" t="n"/>
    </row>
    <row r="8">
      <c r="A8" s="8" t="inlineStr">
        <is>
          <t>输出</t>
        </is>
      </c>
      <c r="B8" s="8" t="inlineStr">
        <is>
          <t>第5年MOIC；每个格子重新计算收购价、财务投资人股权和持股比例。</t>
        </is>
      </c>
      <c r="C8" s="8" t="n"/>
      <c r="D8" s="8" t="n"/>
      <c r="E8" s="8" t="n"/>
      <c r="F8" s="8" t="n"/>
    </row>
  </sheetData>
  <autoFilter ref="A1:F8"/>
  <printOptions horizontalCentered="1"/>
  <pageMargins left="0.25" right="0.25" top="0.4" bottom="0.4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20" customWidth="1" min="5" max="5"/>
    <col width="20" customWidth="1" min="6" max="6"/>
  </cols>
  <sheetData>
    <row r="1">
      <c r="A1" s="3" t="inlineStr">
        <is>
          <t>目标IRR</t>
        </is>
      </c>
      <c r="B1" s="3" t="inlineStr">
        <is>
          <t>退出年</t>
        </is>
      </c>
      <c r="C1" s="3" t="inlineStr">
        <is>
          <t>退出倍数</t>
        </is>
      </c>
      <c r="D1" s="3" t="inlineStr">
        <is>
          <t>退出所得</t>
        </is>
      </c>
      <c r="E1" s="3" t="inlineStr">
        <is>
          <t>允许财务投资人股权</t>
        </is>
      </c>
      <c r="F1" s="3" t="inlineStr">
        <is>
          <t>最高股权购买价</t>
        </is>
      </c>
    </row>
    <row r="2">
      <c r="A2" s="15" t="n">
        <v>0.2</v>
      </c>
      <c r="B2" s="9" t="n">
        <v>5</v>
      </c>
      <c r="C2" s="11" t="n">
        <v>7.625</v>
      </c>
      <c r="D2" s="8">
        <f>'退出回报'!K9</f>
        <v/>
      </c>
      <c r="E2" s="8">
        <f>D2/(1+A2)^B2</f>
        <v/>
      </c>
      <c r="F2" s="8">
        <f>E2+SUM('Sources &amp; Uses'!D2:D4)-SUM('Sources &amp; Uses'!B3:B8)</f>
        <v/>
      </c>
    </row>
    <row r="3">
      <c r="A3" s="15" t="n">
        <v>0.25</v>
      </c>
      <c r="B3" s="9" t="n">
        <v>5</v>
      </c>
      <c r="C3" s="11" t="n">
        <v>7.625</v>
      </c>
      <c r="D3" s="8">
        <f>'退出回报'!K9</f>
        <v/>
      </c>
      <c r="E3" s="8">
        <f>D3/(1+A3)^B3</f>
        <v/>
      </c>
      <c r="F3" s="8">
        <f>E3+SUM('Sources &amp; Uses'!D2:D4)-SUM('Sources &amp; Uses'!B3:B8)</f>
        <v/>
      </c>
    </row>
    <row r="4">
      <c r="A4" s="15" t="n">
        <v>0.3</v>
      </c>
      <c r="B4" s="9" t="n">
        <v>5</v>
      </c>
      <c r="C4" s="11" t="n">
        <v>7.625</v>
      </c>
      <c r="D4" s="8">
        <f>'退出回报'!K9</f>
        <v/>
      </c>
      <c r="E4" s="8">
        <f>D4/(1+A4)^B4</f>
        <v/>
      </c>
      <c r="F4" s="8">
        <f>E4+SUM('Sources &amp; Uses'!D2:D4)-SUM('Sources &amp; Uses'!B3:B8)</f>
        <v/>
      </c>
    </row>
  </sheetData>
  <autoFilter ref="A1:F4"/>
  <printOptions horizontalCentered="1"/>
  <pageMargins left="0.25" right="0.25" top="0.4" bottom="0.4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80" customWidth="1" min="3" max="3"/>
    <col width="34" customWidth="1" min="4" max="4"/>
  </cols>
  <sheetData>
    <row r="1">
      <c r="A1" s="3" t="inlineStr">
        <is>
          <t>假设编号</t>
        </is>
      </c>
      <c r="B1" s="3" t="inlineStr">
        <is>
          <t>主题</t>
        </is>
      </c>
      <c r="C1" s="3" t="inlineStr">
        <is>
          <t>内容</t>
        </is>
      </c>
      <c r="D1" s="3" t="inlineStr">
        <is>
          <t>模型使用位置</t>
        </is>
      </c>
    </row>
    <row r="2">
      <c r="A2" s="4" t="inlineStr">
        <is>
          <t>ASM-LBO-001</t>
        </is>
      </c>
      <c r="B2" s="4" t="inlineStr">
        <is>
          <t>ebitda_growth</t>
        </is>
      </c>
      <c r="C2" s="16" t="inlineStr">
        <is>
          <t>基准情景按5%年增长，仅用于结构测试</t>
        </is>
      </c>
      <c r="D2" s="4" t="inlineStr">
        <is>
          <t>交易、经营、债务或退出模型</t>
        </is>
      </c>
    </row>
    <row r="3">
      <c r="A3" s="4" t="inlineStr">
        <is>
          <t>ASM-LBO-002</t>
        </is>
      </c>
      <c r="B3" s="4" t="inlineStr">
        <is>
          <t>depreciation_amortization</t>
        </is>
      </c>
      <c r="C3" s="16" t="inlineStr">
        <is>
          <t>未单独建模，现金税作为显式输入</t>
        </is>
      </c>
      <c r="D3" s="4" t="inlineStr">
        <is>
          <t>交易、经营、债务或退出模型</t>
        </is>
      </c>
    </row>
    <row r="4">
      <c r="A4" s="4" t="inlineStr">
        <is>
          <t>ASM-LBO-003</t>
        </is>
      </c>
      <c r="B4" s="4" t="inlineStr">
        <is>
          <t>depreciation_tax_shield</t>
        </is>
      </c>
      <c r="C4" s="16" t="inlineStr">
        <is>
          <t>不另行计算，避免与现金税重复</t>
        </is>
      </c>
      <c r="D4" s="4" t="inlineStr">
        <is>
          <t>交易、经营、债务或退出模型</t>
        </is>
      </c>
    </row>
    <row r="5">
      <c r="A5" s="4" t="inlineStr">
        <is>
          <t>ASM-LBO-004</t>
        </is>
      </c>
      <c r="B5" s="4" t="inlineStr">
        <is>
          <t>capex</t>
        </is>
      </c>
      <c r="C5" s="16" t="inlineStr">
        <is>
          <t>逐年显式输入</t>
        </is>
      </c>
      <c r="D5" s="4" t="inlineStr">
        <is>
          <t>交易、经营、债务或退出模型</t>
        </is>
      </c>
    </row>
    <row r="6">
      <c r="A6" s="4" t="inlineStr">
        <is>
          <t>ASM-LBO-005</t>
        </is>
      </c>
      <c r="B6" s="4" t="inlineStr">
        <is>
          <t>working_capital</t>
        </is>
      </c>
      <c r="C6" s="16" t="inlineStr">
        <is>
          <t>逐年显式输入</t>
        </is>
      </c>
      <c r="D6" s="4" t="inlineStr">
        <is>
          <t>交易、经营、债务或退出模型</t>
        </is>
      </c>
    </row>
    <row r="7">
      <c r="A7" s="4" t="inlineStr">
        <is>
          <t>ASM-LBO-006</t>
        </is>
      </c>
      <c r="B7" s="4" t="inlineStr">
        <is>
          <t>cash_taxes</t>
        </is>
      </c>
      <c r="C7" s="16" t="inlineStr">
        <is>
          <t>逐年显式输入</t>
        </is>
      </c>
      <c r="D7" s="4" t="inlineStr">
        <is>
          <t>交易、经营、债务或退出模型</t>
        </is>
      </c>
    </row>
    <row r="8">
      <c r="A8" s="4" t="inlineStr">
        <is>
          <t>ASM-LBO-007</t>
        </is>
      </c>
      <c r="B8" s="4" t="inlineStr">
        <is>
          <t>refinancing</t>
        </is>
      </c>
      <c r="C8" s="16" t="inlineStr">
        <is>
          <t>到期债务不自动再融资，流动性缺口保留</t>
        </is>
      </c>
      <c r="D8" s="4" t="inlineStr">
        <is>
          <t>交易、经营、债务或退出模型</t>
        </is>
      </c>
    </row>
  </sheetData>
  <autoFilter ref="A1:D8"/>
  <printOptions horizontalCentered="1"/>
  <pageMargins left="0.25" right="0.25" top="0.4" bottom="0.4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26" customWidth="1" min="4" max="4"/>
  </cols>
  <sheetData>
    <row r="1">
      <c r="A1" s="3" t="inlineStr">
        <is>
          <t>项目</t>
        </is>
      </c>
      <c r="B1" s="3" t="inlineStr">
        <is>
          <t>数值</t>
        </is>
      </c>
      <c r="C1" s="3" t="inlineStr">
        <is>
          <t>期间/口径</t>
        </is>
      </c>
      <c r="D1" s="3" t="inlineStr">
        <is>
          <t>来源组</t>
        </is>
      </c>
    </row>
    <row r="2">
      <c r="A2" s="8" t="inlineStr">
        <is>
          <t>进入EBITDA</t>
        </is>
      </c>
      <c r="B2" s="8">
        <f>'交易与融资假设'!B9</f>
        <v/>
      </c>
      <c r="C2" s="8" t="inlineStr">
        <is>
          <t>进入估值口径</t>
        </is>
      </c>
      <c r="D2" s="8" t="inlineStr">
        <is>
          <t>SRC-DEMO</t>
        </is>
      </c>
    </row>
    <row r="3">
      <c r="A3" s="8" t="inlineStr">
        <is>
          <t>进入债务</t>
        </is>
      </c>
      <c r="B3" s="8">
        <f>'交易与融资假设'!B3</f>
        <v/>
      </c>
      <c r="C3" s="8" t="inlineStr">
        <is>
          <t>交易基准日需偿还债务</t>
        </is>
      </c>
      <c r="D3" s="8" t="inlineStr">
        <is>
          <t>SRC-DEMO</t>
        </is>
      </c>
    </row>
    <row r="4">
      <c r="A4" s="8" t="inlineStr">
        <is>
          <t>收购现金</t>
        </is>
      </c>
      <c r="B4" s="8">
        <f>'交易与融资假设'!B13</f>
        <v/>
      </c>
      <c r="C4" s="8" t="inlineStr">
        <is>
          <t>交易可使用现金</t>
        </is>
      </c>
      <c r="D4" s="8" t="inlineStr">
        <is>
          <t>SRC-DEMO</t>
        </is>
      </c>
    </row>
    <row r="5">
      <c r="A5" s="8" t="inlineStr">
        <is>
          <t>进入企业价值</t>
        </is>
      </c>
      <c r="B5" s="8">
        <f>'交易与融资假设'!B17</f>
        <v/>
      </c>
      <c r="C5" s="8" t="inlineStr">
        <is>
          <t>股权价值到企业价值桥</t>
        </is>
      </c>
      <c r="D5" s="8" t="inlineStr">
        <is>
          <t>SRC-DEMO</t>
        </is>
      </c>
    </row>
  </sheetData>
  <autoFilter ref="A1:D5"/>
  <printOptions horizontalCentered="1"/>
  <pageMargins left="0.25" right="0.25" top="0.4" bottom="0.4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2" customWidth="1" min="3" max="3"/>
    <col width="38" customWidth="1" min="4" max="4"/>
  </cols>
  <sheetData>
    <row r="1">
      <c r="A1" s="3" t="inlineStr">
        <is>
          <t>类型</t>
        </is>
      </c>
      <c r="B1" s="3" t="inlineStr">
        <is>
          <t>编号</t>
        </is>
      </c>
      <c r="C1" s="3" t="inlineStr">
        <is>
          <t>内容</t>
        </is>
      </c>
      <c r="D1" s="3" t="inlineStr">
        <is>
          <t>处理要求</t>
        </is>
      </c>
    </row>
    <row r="2">
      <c r="A2" s="4" t="inlineStr">
        <is>
          <t>失效条件</t>
        </is>
      </c>
      <c r="B2" s="4" t="inlineStr">
        <is>
          <t>INV-001</t>
        </is>
      </c>
      <c r="C2" s="16" t="inlineStr">
        <is>
          <t>EBITDA低于基准经营路径</t>
        </is>
      </c>
      <c r="D2" s="4" t="inlineStr">
        <is>
          <t>更新对应输入并完整重跑模型</t>
        </is>
      </c>
    </row>
    <row r="3">
      <c r="A3" s="4" t="inlineStr">
        <is>
          <t>失效条件</t>
        </is>
      </c>
      <c r="B3" s="4" t="inlineStr">
        <is>
          <t>INV-002</t>
        </is>
      </c>
      <c r="C3" s="16" t="inlineStr">
        <is>
          <t>现金利率或再融资成本显著高于债务假设</t>
        </is>
      </c>
      <c r="D3" s="4" t="inlineStr">
        <is>
          <t>更新对应输入并完整重跑模型</t>
        </is>
      </c>
    </row>
    <row r="4">
      <c r="A4" s="4" t="inlineStr">
        <is>
          <t>失效条件</t>
        </is>
      </c>
      <c r="B4" s="4" t="inlineStr">
        <is>
          <t>INV-003</t>
        </is>
      </c>
      <c r="C4" s="16" t="inlineStr">
        <is>
          <t>退出倍数低于敏感性下沿</t>
        </is>
      </c>
      <c r="D4" s="4" t="inlineStr">
        <is>
          <t>更新对应输入并完整重跑模型</t>
        </is>
      </c>
    </row>
    <row r="5">
      <c r="A5" s="4" t="inlineStr">
        <is>
          <t>警告</t>
        </is>
      </c>
      <c r="B5" s="4" t="inlineStr">
        <is>
          <t>WRN-001</t>
        </is>
      </c>
      <c r="C5" s="16" t="inlineStr">
        <is>
          <t>At least one exit multiple exceeds the entry multiple; do not use it as Base without evidence.</t>
        </is>
      </c>
      <c r="D5" s="4" t="inlineStr">
        <is>
          <t>评估影响并在结论页披露</t>
        </is>
      </c>
    </row>
    <row r="6">
      <c r="A6" s="4" t="inlineStr">
        <is>
          <t>警告</t>
        </is>
      </c>
      <c r="B6" s="4" t="inlineStr">
        <is>
          <t>WRN-002</t>
        </is>
      </c>
      <c r="C6" s="16" t="inlineStr">
        <is>
          <t>No management_case supplied; add an operating improvement comparison when Base returns are impaired or near the equity cliff.</t>
        </is>
      </c>
      <c r="D6" s="4" t="inlineStr">
        <is>
          <t>评估影响并在结论页披露</t>
        </is>
      </c>
    </row>
  </sheetData>
  <autoFilter ref="A1:D6"/>
  <printOptions horizontalCentered="1"/>
  <pageMargins left="0.25" right="0.25" top="0.4" bottom="0.4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68" customWidth="1" min="4" max="4"/>
    <col width="40" customWidth="1" min="5" max="5"/>
  </cols>
  <sheetData>
    <row r="1">
      <c r="A1" s="3" t="inlineStr">
        <is>
          <t>来源ID</t>
        </is>
      </c>
      <c r="B1" s="3" t="inlineStr">
        <is>
          <t>标题</t>
        </is>
      </c>
      <c r="C1" s="3" t="inlineStr">
        <is>
          <t>日期</t>
        </is>
      </c>
      <c r="D1" s="3" t="inlineStr">
        <is>
          <t>URL/定位</t>
        </is>
      </c>
      <c r="E1" s="3" t="inlineStr">
        <is>
          <t>备注</t>
        </is>
      </c>
    </row>
    <row r="2">
      <c r="A2" s="16" t="inlineStr">
        <is>
          <t>SRC-DEMO</t>
        </is>
      </c>
      <c r="B2" s="16" t="inlineStr">
        <is>
          <t>结构测试数据，不代表真实公司</t>
        </is>
      </c>
      <c r="C2" s="16" t="inlineStr">
        <is>
          <t>2026-07-16</t>
        </is>
      </c>
      <c r="D2" s="16" t="n"/>
      <c r="E2" s="16" t="n"/>
    </row>
  </sheetData>
  <autoFilter ref="A1:E2"/>
  <printOptions horizontalCentered="1"/>
  <pageMargins left="0.25" right="0.25" top="0.4" bottom="0.4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2" customWidth="1" min="5" max="5"/>
    <col width="14" customWidth="1" min="6" max="6"/>
    <col width="52" customWidth="1" min="7" max="7"/>
  </cols>
  <sheetData>
    <row r="1">
      <c r="A1" s="3" t="inlineStr">
        <is>
          <t>检查项</t>
        </is>
      </c>
      <c r="B1" s="3" t="inlineStr">
        <is>
          <t>实际值</t>
        </is>
      </c>
      <c r="C1" s="3" t="inlineStr">
        <is>
          <t>期望值</t>
        </is>
      </c>
      <c r="D1" s="3" t="inlineStr">
        <is>
          <t>差异</t>
        </is>
      </c>
      <c r="E1" s="3" t="inlineStr">
        <is>
          <t>容差</t>
        </is>
      </c>
      <c r="F1" s="3" t="inlineStr">
        <is>
          <t>状态</t>
        </is>
      </c>
      <c r="G1" s="3" t="inlineStr">
        <is>
          <t>修复提示</t>
        </is>
      </c>
    </row>
    <row r="2">
      <c r="A2" s="8" t="inlineStr">
        <is>
          <t>Sources &amp; Uses平衡</t>
        </is>
      </c>
      <c r="B2" s="8">
        <f>'Sources &amp; Uses'!B10</f>
        <v/>
      </c>
      <c r="C2" s="8" t="n">
        <v>0</v>
      </c>
      <c r="D2" s="8">
        <f>B2-C2</f>
        <v/>
      </c>
      <c r="E2" s="8" t="n">
        <v>1e-06</v>
      </c>
      <c r="F2" s="8">
        <f>IF(ABS(D2)&lt;=E2,"PASS","FAIL")</f>
        <v/>
      </c>
      <c r="G2" s="8" t="inlineStr">
        <is>
          <t>检查交易用途及资金来源</t>
        </is>
      </c>
    </row>
    <row r="3">
      <c r="A3" s="8" t="inlineStr">
        <is>
          <t>期末债务非负</t>
        </is>
      </c>
      <c r="B3" s="8">
        <f>MIN('分层债务'!I2:I500)</f>
        <v/>
      </c>
      <c r="C3" s="8" t="n">
        <v>0</v>
      </c>
      <c r="D3" s="8">
        <f>MIN(0,B3-C3)</f>
        <v/>
      </c>
      <c r="E3" s="8" t="n">
        <v>0</v>
      </c>
      <c r="F3" s="8">
        <f>IF(B3&gt;=C3,"PASS","FAIL")</f>
        <v/>
      </c>
      <c r="G3" s="8" t="inlineStr">
        <is>
          <t>检查摊还、现金扫款及循环额度提款</t>
        </is>
      </c>
    </row>
    <row r="4">
      <c r="A4" s="8" t="inlineStr">
        <is>
          <t>流动性检查</t>
        </is>
      </c>
      <c r="B4" s="8">
        <f>COUNTIF('现金与利息'!L2:L100,"FAIL")</f>
        <v/>
      </c>
      <c r="C4" s="8" t="n">
        <v>0</v>
      </c>
      <c r="D4" s="8">
        <f>B4-C4</f>
        <v/>
      </c>
      <c r="E4" s="8" t="n">
        <v>0</v>
      </c>
      <c r="F4" s="8">
        <f>IF(B4=0,"PASS","FAIL")</f>
        <v/>
      </c>
      <c r="G4" s="8" t="inlineStr">
        <is>
          <t>现金不足时需补充循环额度或股权</t>
        </is>
      </c>
    </row>
    <row r="5">
      <c r="A5" s="8" t="inlineStr">
        <is>
          <t>退出回报公式</t>
        </is>
      </c>
      <c r="B5" s="8">
        <f>COUNT('退出回报'!N2:P16)</f>
        <v/>
      </c>
      <c r="C5" s="8" t="n">
        <v>45</v>
      </c>
      <c r="D5" s="8">
        <f>B5-C5</f>
        <v/>
      </c>
      <c r="E5" s="8" t="n">
        <v>0</v>
      </c>
      <c r="F5" s="8">
        <f>IF(B5=C5,"PASS","FAIL")</f>
        <v/>
      </c>
      <c r="G5" s="8" t="inlineStr">
        <is>
          <t>MOIC、IRR、XIRR均须由公式生成</t>
        </is>
      </c>
    </row>
    <row r="6">
      <c r="A6" s="8" t="inlineStr">
        <is>
          <t>回报归因勾稽</t>
        </is>
      </c>
      <c r="B6" s="8">
        <f>MAX(ABS('回报归因'!K2:K16))</f>
        <v/>
      </c>
      <c r="C6" s="8" t="n">
        <v>0</v>
      </c>
      <c r="D6" s="8">
        <f>B6-C6</f>
        <v/>
      </c>
      <c r="E6" s="8" t="n">
        <v>1e-06</v>
      </c>
      <c r="F6" s="8">
        <f>IF(ABS(D6)&lt;=E6,"PASS","FAIL")</f>
        <v/>
      </c>
      <c r="G6" s="8" t="inlineStr">
        <is>
          <t>检查EBITDA、倍数、净债务和费用贡献</t>
        </is>
      </c>
    </row>
    <row r="7">
      <c r="A7" s="8" t="inlineStr">
        <is>
          <t>敏感性公式数量</t>
        </is>
      </c>
      <c r="B7" s="8">
        <f>COUNT('情景与敏感性'!B2:F6)</f>
        <v/>
      </c>
      <c r="C7" s="8" t="n">
        <v>25</v>
      </c>
      <c r="D7" s="8">
        <f>B7-C7</f>
        <v/>
      </c>
      <c r="E7" s="8" t="n">
        <v>0</v>
      </c>
      <c r="F7" s="8">
        <f>IF(B7=C7,"PASS","FAIL")</f>
        <v/>
      </c>
      <c r="G7" s="8" t="inlineStr">
        <is>
          <t>25个敏感性格均须为公式</t>
        </is>
      </c>
    </row>
    <row r="8">
      <c r="A8" s="8" t="inlineStr">
        <is>
          <t>模型总体状态</t>
        </is>
      </c>
      <c r="B8" s="8">
        <f>COUNTIF(F2:F7,"FAIL")</f>
        <v/>
      </c>
      <c r="C8" s="8" t="n">
        <v>0</v>
      </c>
      <c r="D8" s="8">
        <f>B8-C8</f>
        <v/>
      </c>
      <c r="E8" s="8" t="n">
        <v>0</v>
      </c>
      <c r="F8" s="8">
        <f>IF(B8=0,"PASS","FAIL")</f>
        <v/>
      </c>
      <c r="G8" s="8" t="inlineStr">
        <is>
          <t>任一检查失败即阻断回报结论</t>
        </is>
      </c>
    </row>
  </sheetData>
  <autoFilter ref="A1:G8"/>
  <printOptions horizontalCentered="1"/>
  <pageMargins left="0.25" right="0.25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2026-07-29T03:23:52Z</dcterms:created>
  <dcterms:modified xmlns:dcterms="http://purl.org/dc/terms/" xmlns:xsi="http://www.w3.org/2001/XMLSchema-instance" xsi:type="dcterms:W3CDTF">2026-07-29T03:23:52Z</dcterms:modified>
</cp:coreProperties>
</file>