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结论摘要" sheetId="2" state="visible" r:id="rId2"/>
    <sheet xmlns:r="http://schemas.openxmlformats.org/officeDocument/2006/relationships" name="原始数据与计算" sheetId="3" state="visible" r:id="rId3"/>
    <sheet xmlns:r="http://schemas.openxmlformats.org/officeDocument/2006/relationships" name="目标公司" sheetId="4" state="visible" r:id="rId4"/>
    <sheet xmlns:r="http://schemas.openxmlformats.org/officeDocument/2006/relationships" name="同行筛选" sheetId="5" state="visible" r:id="rId5"/>
    <sheet xmlns:r="http://schemas.openxmlformats.org/officeDocument/2006/relationships" name="历史数据与口径" sheetId="6" state="visible" r:id="rId6"/>
    <sheet xmlns:r="http://schemas.openxmlformats.org/officeDocument/2006/relationships" name="标准化调整" sheetId="7" state="visible" r:id="rId7"/>
    <sheet xmlns:r="http://schemas.openxmlformats.org/officeDocument/2006/relationships" name="市值与EV桥" sheetId="8" state="visible" r:id="rId8"/>
    <sheet xmlns:r="http://schemas.openxmlformats.org/officeDocument/2006/relationships" name="交易倍数" sheetId="9" state="visible" r:id="rId9"/>
    <sheet xmlns:r="http://schemas.openxmlformats.org/officeDocument/2006/relationships" name="核心样本" sheetId="10" state="visible" r:id="rId10"/>
    <sheet xmlns:r="http://schemas.openxmlformats.org/officeDocument/2006/relationships" name="同行统计" sheetId="11" state="visible" r:id="rId11"/>
    <sheet xmlns:r="http://schemas.openxmlformats.org/officeDocument/2006/relationships" name="隐含估值" sheetId="12" state="visible" r:id="rId12"/>
    <sheet xmlns:r="http://schemas.openxmlformats.org/officeDocument/2006/relationships" name="情景与敏感性" sheetId="13" state="visible" r:id="rId13"/>
    <sheet xmlns:r="http://schemas.openxmlformats.org/officeDocument/2006/relationships" name="市场隐含预期" sheetId="14" state="visible" r:id="rId14"/>
    <sheet xmlns:r="http://schemas.openxmlformats.org/officeDocument/2006/relationships" name="假设与方法" sheetId="15" state="visible" r:id="rId15"/>
    <sheet xmlns:r="http://schemas.openxmlformats.org/officeDocument/2006/relationships" name="数据质量与失效条件" sheetId="16" state="visible" r:id="rId16"/>
    <sheet xmlns:r="http://schemas.openxmlformats.org/officeDocument/2006/relationships" name="数据来源" sheetId="17" state="visible" r:id="rId17"/>
    <sheet xmlns:r="http://schemas.openxmlformats.org/officeDocument/2006/relationships" name="结论依据" sheetId="18" state="visible" r:id="rId18"/>
    <sheet xmlns:r="http://schemas.openxmlformats.org/officeDocument/2006/relationships" name="模型检查" sheetId="19" state="visible" r:id="rId19"/>
  </sheets>
  <definedNames>
    <definedName name="_xlnm.Print_Area" localSheetId="0">'封面'!$A$1:$F$4</definedName>
    <definedName name="_xlnm._FilterDatabase" localSheetId="1" hidden="1">'结论摘要'!$A$1:$D$13</definedName>
    <definedName name="_xlnm.Print_Area" localSheetId="1">'结论摘要'!$A$1:$D$13</definedName>
    <definedName name="_xlnm._FilterDatabase" localSheetId="2" hidden="1">'原始数据与计算'!$A$1:$AJ$5</definedName>
    <definedName name="_xlnm.Print_Area" localSheetId="2">'原始数据与计算'!$A$1:$AJ$5</definedName>
    <definedName name="_xlnm._FilterDatabase" localSheetId="3" hidden="1">'目标公司'!$A$1:$D$9</definedName>
    <definedName name="_xlnm.Print_Area" localSheetId="3">'目标公司'!$A$1:$D$9</definedName>
    <definedName name="_xlnm._FilterDatabase" localSheetId="4" hidden="1">'同行筛选'!$A$1:$M$4</definedName>
    <definedName name="_xlnm.Print_Area" localSheetId="4">'同行筛选'!$A$1:$M$4</definedName>
    <definedName name="_xlnm._FilterDatabase" localSheetId="5" hidden="1">'历史数据与口径'!$A$1:$J$5</definedName>
    <definedName name="_xlnm.Print_Area" localSheetId="5">'历史数据与口径'!$A$1:$J$5</definedName>
    <definedName name="_xlnm._FilterDatabase" localSheetId="6" hidden="1">'标准化调整'!$A$1:$J$5</definedName>
    <definedName name="_xlnm.Print_Area" localSheetId="6">'标准化调整'!$A$1:$J$5</definedName>
    <definedName name="_xlnm._FilterDatabase" localSheetId="7" hidden="1">'市值与EV桥'!$A$1:$M$5</definedName>
    <definedName name="_xlnm.Print_Area" localSheetId="7">'市值与EV桥'!$A$1:$M$5</definedName>
    <definedName name="_xlnm._FilterDatabase" localSheetId="8" hidden="1">'交易倍数'!$A$1:$N$5</definedName>
    <definedName name="_xlnm.Print_Area" localSheetId="8">'交易倍数'!$A$1:$N$5</definedName>
    <definedName name="_xlnm._FilterDatabase" localSheetId="9" hidden="1">'核心样本'!$A$1:$M$4</definedName>
    <definedName name="_xlnm.Print_Area" localSheetId="9">'核心样本'!$A$1:$M$4</definedName>
    <definedName name="_xlnm._FilterDatabase" localSheetId="10" hidden="1">'同行统计'!$A$1:$F$13</definedName>
    <definedName name="_xlnm.Print_Area" localSheetId="10">'同行统计'!$A$1:$F$13</definedName>
    <definedName name="_xlnm._FilterDatabase" localSheetId="11" hidden="1">'隐含估值'!$A$1:$J$12</definedName>
    <definedName name="_xlnm.Print_Area" localSheetId="11">'隐含估值'!$A$1:$J$12</definedName>
    <definedName name="_xlnm._FilterDatabase" localSheetId="12" hidden="1">'情景与敏感性'!$A$1:$F$8</definedName>
    <definedName name="_xlnm.Print_Area" localSheetId="12">'情景与敏感性'!$A$1:$F$8</definedName>
    <definedName name="_xlnm._FilterDatabase" localSheetId="13" hidden="1">'市场隐含预期'!$A$1:$C$4</definedName>
    <definedName name="_xlnm.Print_Area" localSheetId="13">'市场隐含预期'!$A$1:$C$4</definedName>
    <definedName name="_xlnm._FilterDatabase" localSheetId="14" hidden="1">'假设与方法'!$A$1:$D$5</definedName>
    <definedName name="_xlnm.Print_Area" localSheetId="14">'假设与方法'!$A$1:$D$5</definedName>
    <definedName name="_xlnm._FilterDatabase" localSheetId="15" hidden="1">'数据质量与失效条件'!$A$1:$D$5</definedName>
    <definedName name="_xlnm.Print_Area" localSheetId="15">'数据质量与失效条件'!$A$1:$D$5</definedName>
    <definedName name="_xlnm._FilterDatabase" localSheetId="16" hidden="1">'数据来源'!$A$1:$E$2</definedName>
    <definedName name="_xlnm.Print_Area" localSheetId="16">'数据来源'!$A$1:$E$2</definedName>
    <definedName name="_xlnm._FilterDatabase" localSheetId="17" hidden="1">'结论依据'!$A$1:$C$4</definedName>
    <definedName name="_xlnm.Print_Area" localSheetId="17">'结论依据'!$A$1:$C$4</definedName>
    <definedName name="_xlnm._FilterDatabase" localSheetId="18" hidden="1">'模型检查'!$A$1:$G$7</definedName>
    <definedName name="_xlnm.Print_Area" localSheetId="18">'模型检查'!$A$1:$G$7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0.00x"/>
    <numFmt numFmtId="165" formatCode="0.0%"/>
    <numFmt numFmtId="166" formatCode="0.0x"/>
  </numFmts>
  <fonts count="6">
    <font>
      <name val="Calibri"/>
      <family val="2"/>
      <color theme="1"/>
      <sz val="11"/>
      <scheme val="minor"/>
    </font>
    <font>
      <name val="Arial Unicode MS"/>
      <b val="1"/>
      <color rgb="00FFFFFF"/>
      <sz val="18"/>
    </font>
    <font>
      <name val="Arial Unicode MS"/>
    </font>
    <font>
      <name val="Arial Unicode MS"/>
      <color rgb="000000FF"/>
    </font>
    <font>
      <name val="Arial Unicode MS"/>
      <color theme="1"/>
      <sz val="11"/>
    </font>
    <font>
      <name val="Arial Unicode MS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5" fillId="2" borderId="0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2" fontId="4" fillId="0" borderId="0" pivotButton="0" quotePrefix="0" xfId="0"/>
    <xf numFmtId="166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</cols>
  <sheetData>
    <row r="1">
      <c r="A1" s="1" t="inlineStr">
        <is>
          <t>可比公司分析：单一Excel决策与审计模型</t>
        </is>
      </c>
    </row>
    <row r="2"/>
    <row r="4">
      <c r="A4" s="2" t="inlineStr">
        <is>
          <t>本工作簿是唯一正式用户交付物；定量结论、定性说明、来源和检查均在簿内。</t>
        </is>
      </c>
    </row>
    <row r="6">
      <c r="A6" t="inlineStr">
        <is>
          <t>估值基准日</t>
        </is>
      </c>
      <c r="B6" t="inlineStr">
        <is>
          <t>2026-06-30</t>
        </is>
      </c>
    </row>
    <row r="7">
      <c r="A7" t="inlineStr">
        <is>
          <t>目标公司</t>
        </is>
      </c>
      <c r="B7" t="inlineStr">
        <is>
          <t>目标示例公司（TARGET）</t>
        </is>
      </c>
    </row>
    <row r="8">
      <c r="A8" t="inlineStr">
        <is>
          <t>主估值指标</t>
        </is>
      </c>
      <c r="B8" t="inlineStr">
        <is>
          <t>市净率（P/B）</t>
        </is>
      </c>
    </row>
    <row r="9">
      <c r="A9" t="inlineStr">
        <is>
          <t>数据等级</t>
        </is>
      </c>
      <c r="B9" t="inlineStr">
        <is>
          <t>B</t>
        </is>
      </c>
    </row>
    <row r="10">
      <c r="A10" t="inlineStr">
        <is>
          <t>默认交付策略</t>
        </is>
      </c>
      <c r="B10" t="inlineStr">
        <is>
          <t>只交付Excel；独立Markdown仅在用户明确要求时额外生成</t>
        </is>
      </c>
    </row>
  </sheetData>
  <mergeCells count="1">
    <mergeCell ref="A1:F2"/>
  </mergeCells>
  <printOptions horizontalCentered="1"/>
  <pageMargins left="0.25" right="0.25" top="0.4" bottom="0.4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  <col width="52" customWidth="1" min="3" max="3"/>
    <col width="24" customWidth="1" min="4" max="4"/>
  </cols>
  <sheetData>
    <row r="1">
      <c r="A1" s="3" t="inlineStr">
        <is>
          <t>项目</t>
        </is>
      </c>
      <c r="B1" s="3" t="inlineStr">
        <is>
          <t>数值/结论</t>
        </is>
      </c>
      <c r="C1" s="3" t="inlineStr">
        <is>
          <t>解释</t>
        </is>
      </c>
      <c r="D1" s="3" t="inlineStr">
        <is>
          <t>追溯位置</t>
        </is>
      </c>
    </row>
    <row r="2">
      <c r="A2" s="4" t="inlineStr">
        <is>
          <t>模型状态</t>
        </is>
      </c>
      <c r="B2" s="4">
        <f>'模型检查'!F7</f>
        <v/>
      </c>
      <c r="C2" s="4" t="inlineStr">
        <is>
          <t>只有PASS才允许发布正式估值区间</t>
        </is>
      </c>
      <c r="D2" s="4" t="inlineStr">
        <is>
          <t>模型检查</t>
        </is>
      </c>
    </row>
    <row r="3">
      <c r="A3" s="4" t="inlineStr">
        <is>
          <t>估值基准日</t>
        </is>
      </c>
      <c r="B3" s="4" t="inlineStr">
        <is>
          <t>2026-06-30</t>
        </is>
      </c>
      <c r="C3" s="4" t="inlineStr">
        <is>
          <t>统一价格、股本和汇率日期</t>
        </is>
      </c>
      <c r="D3" s="4" t="inlineStr">
        <is>
          <t>历史数据与口径</t>
        </is>
      </c>
    </row>
    <row r="4">
      <c r="A4" s="4" t="inlineStr">
        <is>
          <t>目标公司</t>
        </is>
      </c>
      <c r="B4" s="4" t="inlineStr">
        <is>
          <t>目标示例公司</t>
        </is>
      </c>
      <c r="C4" s="4" t="inlineStr">
        <is>
          <t>TARGET</t>
        </is>
      </c>
      <c r="D4" s="4" t="inlineStr">
        <is>
          <t>目标公司</t>
        </is>
      </c>
    </row>
    <row r="5">
      <c r="A5" s="4" t="inlineStr">
        <is>
          <t>主估值指标</t>
        </is>
      </c>
      <c r="B5" s="4" t="inlineStr">
        <is>
          <t>市净率（P/B）</t>
        </is>
      </c>
      <c r="C5" s="4" t="inlineStr">
        <is>
          <t>由行业与阶段路由确定</t>
        </is>
      </c>
      <c r="D5" s="4" t="inlineStr">
        <is>
          <t>假设与方法</t>
        </is>
      </c>
    </row>
    <row r="6">
      <c r="A6" s="4" t="inlineStr">
        <is>
          <t>当前股价</t>
        </is>
      </c>
      <c r="B6" s="5">
        <f>'隐含估值'!I12</f>
        <v/>
      </c>
      <c r="C6" s="4" t="inlineStr">
        <is>
          <t>未复权估值日收盘价</t>
        </is>
      </c>
      <c r="D6" s="4" t="inlineStr">
        <is>
          <t>隐含估值</t>
        </is>
      </c>
    </row>
    <row r="7">
      <c r="A7" s="4" t="inlineStr">
        <is>
          <t>P25隐含价值</t>
        </is>
      </c>
      <c r="B7" s="5">
        <f>MIN('隐含估值'!F12:'隐含估值'!H12)</f>
        <v/>
      </c>
      <c r="C7" s="4" t="inlineStr">
        <is>
          <t>考虑收益率指标方向</t>
        </is>
      </c>
      <c r="D7" s="4" t="inlineStr">
        <is>
          <t>隐含估值</t>
        </is>
      </c>
    </row>
    <row r="8">
      <c r="A8" s="4" t="inlineStr">
        <is>
          <t>中位数隐含价值</t>
        </is>
      </c>
      <c r="B8" s="5">
        <f>'隐含估值'!G12</f>
        <v/>
      </c>
      <c r="C8" s="4" t="inlineStr">
        <is>
          <t>核心样本中位数锚</t>
        </is>
      </c>
      <c r="D8" s="4" t="inlineStr">
        <is>
          <t>隐含估值</t>
        </is>
      </c>
    </row>
    <row r="9">
      <c r="A9" s="4" t="inlineStr">
        <is>
          <t>P75隐含价值</t>
        </is>
      </c>
      <c r="B9" s="5">
        <f>MAX('隐含估值'!F12:'隐含估值'!H12)</f>
        <v/>
      </c>
      <c r="C9" s="4" t="inlineStr">
        <is>
          <t>考虑收益率指标方向</t>
        </is>
      </c>
      <c r="D9" s="4" t="inlineStr">
        <is>
          <t>隐含估值</t>
        </is>
      </c>
    </row>
    <row r="10">
      <c r="A10" s="4" t="inlineStr">
        <is>
          <t>中位数上涨/下跌空间</t>
        </is>
      </c>
      <c r="B10" s="6">
        <f>IFERROR(B8/B6-1,"")</f>
        <v/>
      </c>
      <c r="C10" s="4" t="inlineStr">
        <is>
          <t>相对估值基准日股价</t>
        </is>
      </c>
      <c r="D10" s="4" t="inlineStr">
        <is>
          <t>隐含估值</t>
        </is>
      </c>
    </row>
    <row r="11">
      <c r="A11" s="4" t="inlineStr">
        <is>
          <t>结论</t>
        </is>
      </c>
      <c r="B11" s="7" t="inlineStr">
        <is>
          <t>结构测试示例，不形成真实估值结论</t>
        </is>
      </c>
      <c r="C11" s="4" t="inlineStr">
        <is>
          <t>定性结论不得替代公式结果</t>
        </is>
      </c>
      <c r="D11" s="4" t="inlineStr">
        <is>
          <t>结论依据</t>
        </is>
      </c>
    </row>
    <row r="12">
      <c r="A12" s="4" t="inlineStr">
        <is>
          <t>同行比较</t>
        </is>
      </c>
      <c r="B12" s="7" t="inlineStr">
        <is>
          <t>增长、盈利、现金转化和风险逐项比较完成</t>
        </is>
      </c>
      <c r="C12" s="4" t="inlineStr">
        <is>
          <t>解释增长、盈利、现金转化与风险</t>
        </is>
      </c>
      <c r="D12" s="4" t="inlineStr">
        <is>
          <t>结论依据</t>
        </is>
      </c>
    </row>
    <row r="13">
      <c r="A13" s="4" t="inlineStr">
        <is>
          <t>溢折价逻辑</t>
        </is>
      </c>
      <c r="B13" s="7" t="inlineStr">
        <is>
          <t>未给予无依据溢价</t>
        </is>
      </c>
      <c r="C13" s="4" t="inlineStr">
        <is>
          <t>禁止无证据百分比加减</t>
        </is>
      </c>
      <c r="D13" s="4" t="inlineStr">
        <is>
          <t>结论依据</t>
        </is>
      </c>
    </row>
  </sheetData>
  <autoFilter ref="A1:D13"/>
  <printOptions horizontalCentered="1"/>
  <pageMargins left="0.25" right="0.25" top="0.4" bottom="0.4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4" customWidth="1" min="4" max="4"/>
    <col width="14" customWidth="1" min="5" max="5"/>
  </cols>
  <sheetData>
    <row r="1">
      <c r="A1" s="3" t="inlineStr">
        <is>
          <t>公司</t>
        </is>
      </c>
      <c r="B1" s="3" t="inlineStr">
        <is>
          <t>代码</t>
        </is>
      </c>
      <c r="C1" s="3" t="inlineStr">
        <is>
          <t>分类</t>
        </is>
      </c>
      <c r="D1" s="3" t="inlineStr">
        <is>
          <t>股价</t>
        </is>
      </c>
      <c r="E1" s="3" t="inlineStr">
        <is>
          <t>稀释股数</t>
        </is>
      </c>
      <c r="F1" s="3" t="inlineStr">
        <is>
          <t>债务</t>
        </is>
      </c>
      <c r="G1" s="3" t="inlineStr">
        <is>
          <t>现金</t>
        </is>
      </c>
      <c r="H1" s="3" t="inlineStr">
        <is>
          <t>优先股</t>
        </is>
      </c>
      <c r="I1" s="3" t="inlineStr">
        <is>
          <t>少数股东权益</t>
        </is>
      </c>
      <c r="J1" s="3" t="inlineStr">
        <is>
          <t>债务类调整</t>
        </is>
      </c>
      <c r="K1" s="3" t="inlineStr">
        <is>
          <t>非经营投资</t>
        </is>
      </c>
      <c r="L1" s="3" t="inlineStr">
        <is>
          <t>LTM收入</t>
        </is>
      </c>
      <c r="M1" s="3" t="inlineStr">
        <is>
          <t>NTM收入</t>
        </is>
      </c>
      <c r="N1" s="3" t="inlineStr">
        <is>
          <t>LTM EBITDA</t>
        </is>
      </c>
      <c r="O1" s="3" t="inlineStr">
        <is>
          <t>NTM EBITDA</t>
        </is>
      </c>
      <c r="P1" s="3" t="inlineStr">
        <is>
          <t>LTM净利润</t>
        </is>
      </c>
      <c r="Q1" s="3" t="inlineStr">
        <is>
          <t>NTM净利润</t>
        </is>
      </c>
      <c r="R1" s="3" t="inlineStr">
        <is>
          <t>LTM自由现金流</t>
        </is>
      </c>
      <c r="S1" s="3" t="inlineStr">
        <is>
          <t>NTM自由现金流</t>
        </is>
      </c>
      <c r="T1" s="3" t="inlineStr">
        <is>
          <t>普通股权益</t>
        </is>
      </c>
      <c r="U1" s="3" t="inlineStr">
        <is>
          <t>账面价值股数</t>
        </is>
      </c>
      <c r="V1" s="3" t="inlineStr">
        <is>
          <t>平均普通股权益</t>
        </is>
      </c>
      <c r="W1" s="3" t="inlineStr">
        <is>
          <t>市值</t>
        </is>
      </c>
      <c r="X1" s="3" t="inlineStr">
        <is>
          <t>企业价值</t>
        </is>
      </c>
      <c r="Y1" s="3" t="inlineStr">
        <is>
          <t>LTM EV/收入</t>
        </is>
      </c>
      <c r="Z1" s="3" t="inlineStr">
        <is>
          <t>NTM EV/收入</t>
        </is>
      </c>
      <c r="AA1" s="3" t="inlineStr">
        <is>
          <t>LTM EV/EBITDA</t>
        </is>
      </c>
      <c r="AB1" s="3" t="inlineStr">
        <is>
          <t>NTM EV/EBITDA</t>
        </is>
      </c>
      <c r="AC1" s="3" t="inlineStr">
        <is>
          <t>LTM P/E</t>
        </is>
      </c>
      <c r="AD1" s="3" t="inlineStr">
        <is>
          <t>NTM P/E</t>
        </is>
      </c>
      <c r="AE1" s="3" t="inlineStr">
        <is>
          <t>LTM P/S</t>
        </is>
      </c>
      <c r="AF1" s="3" t="inlineStr">
        <is>
          <t>NTM P/S</t>
        </is>
      </c>
      <c r="AG1" s="3" t="inlineStr">
        <is>
          <t>LTM FCF收益率</t>
        </is>
      </c>
      <c r="AH1" s="3" t="inlineStr">
        <is>
          <t>NTM FCF收益率</t>
        </is>
      </c>
      <c r="AI1" s="3" t="inlineStr">
        <is>
          <t>P/B</t>
        </is>
      </c>
      <c r="AJ1" s="3" t="inlineStr">
        <is>
          <t>LTM ROE</t>
        </is>
      </c>
    </row>
    <row r="2">
      <c r="A2" s="8" t="inlineStr">
        <is>
          <t>目标示例公司</t>
        </is>
      </c>
      <c r="B2" s="8" t="inlineStr">
        <is>
          <t>TARGET</t>
        </is>
      </c>
      <c r="C2" s="8" t="inlineStr">
        <is>
          <t>Target</t>
        </is>
      </c>
      <c r="D2" s="8" t="n">
        <v>10</v>
      </c>
      <c r="E2" s="8" t="n">
        <v>100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/>
      <c r="M2" s="8" t="n"/>
      <c r="N2" s="8" t="n"/>
      <c r="O2" s="8" t="n"/>
      <c r="P2" s="8" t="n">
        <v>100</v>
      </c>
      <c r="Q2" s="8" t="n"/>
      <c r="R2" s="8" t="n"/>
      <c r="S2" s="8" t="n"/>
      <c r="T2" s="8" t="n">
        <v>1000</v>
      </c>
      <c r="U2" s="8" t="n">
        <v>100</v>
      </c>
      <c r="V2" s="8" t="n">
        <v>1000</v>
      </c>
      <c r="W2" s="9">
        <f>D2*E2</f>
        <v/>
      </c>
      <c r="X2" s="9">
        <f>W2+F2-G2+H2+I2+J2-K2</f>
        <v/>
      </c>
      <c r="Y2" s="9">
        <f>IFERROR(X2/L2,"")</f>
        <v/>
      </c>
      <c r="Z2" s="9">
        <f>IFERROR(X2/M2,"")</f>
        <v/>
      </c>
      <c r="AA2" s="9">
        <f>IFERROR(X2/N2,"")</f>
        <v/>
      </c>
      <c r="AB2" s="9">
        <f>IFERROR(X2/O2,"")</f>
        <v/>
      </c>
      <c r="AC2" s="9">
        <f>IFERROR(W2/P2,"")</f>
        <v/>
      </c>
      <c r="AD2" s="9">
        <f>IFERROR(W2/Q2,"")</f>
        <v/>
      </c>
      <c r="AE2" s="9">
        <f>IFERROR(W2/L2,"")</f>
        <v/>
      </c>
      <c r="AF2" s="9">
        <f>IFERROR(W2/M2,"")</f>
        <v/>
      </c>
      <c r="AG2" s="9">
        <f>IFERROR(R2/W2,"")</f>
        <v/>
      </c>
      <c r="AH2" s="9">
        <f>IFERROR(S2/W2,"")</f>
        <v/>
      </c>
      <c r="AI2" s="9">
        <f>IFERROR(D2/(T2/U2),"")</f>
        <v/>
      </c>
      <c r="AJ2" s="9">
        <f>IFERROR(P2/V2,"")</f>
        <v/>
      </c>
    </row>
    <row r="3">
      <c r="A3" s="8" t="inlineStr">
        <is>
          <t>核心示例公司1</t>
        </is>
      </c>
      <c r="B3" s="8" t="inlineStr">
        <is>
          <t>CORE1</t>
        </is>
      </c>
      <c r="C3" s="8" t="inlineStr">
        <is>
          <t>Core</t>
        </is>
      </c>
      <c r="D3" s="8" t="n">
        <v>11</v>
      </c>
      <c r="E3" s="8" t="n">
        <v>100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/>
      <c r="M3" s="8" t="n"/>
      <c r="N3" s="8" t="n"/>
      <c r="O3" s="8" t="n"/>
      <c r="P3" s="8" t="n">
        <v>100</v>
      </c>
      <c r="Q3" s="8" t="n"/>
      <c r="R3" s="8" t="n"/>
      <c r="S3" s="8" t="n"/>
      <c r="T3" s="8" t="n">
        <v>1000</v>
      </c>
      <c r="U3" s="8" t="n">
        <v>100</v>
      </c>
      <c r="V3" s="8" t="n">
        <v>1000</v>
      </c>
      <c r="W3" s="9">
        <f>D3*E3</f>
        <v/>
      </c>
      <c r="X3" s="9">
        <f>W3+F3-G3+H3+I3+J3-K3</f>
        <v/>
      </c>
      <c r="Y3" s="9">
        <f>IFERROR(X3/L3,"")</f>
        <v/>
      </c>
      <c r="Z3" s="9">
        <f>IFERROR(X3/M3,"")</f>
        <v/>
      </c>
      <c r="AA3" s="9">
        <f>IFERROR(X3/N3,"")</f>
        <v/>
      </c>
      <c r="AB3" s="9">
        <f>IFERROR(X3/O3,"")</f>
        <v/>
      </c>
      <c r="AC3" s="9">
        <f>IFERROR(W3/P3,"")</f>
        <v/>
      </c>
      <c r="AD3" s="9">
        <f>IFERROR(W3/Q3,"")</f>
        <v/>
      </c>
      <c r="AE3" s="9">
        <f>IFERROR(W3/L3,"")</f>
        <v/>
      </c>
      <c r="AF3" s="9">
        <f>IFERROR(W3/M3,"")</f>
        <v/>
      </c>
      <c r="AG3" s="9">
        <f>IFERROR(R3/W3,"")</f>
        <v/>
      </c>
      <c r="AH3" s="9">
        <f>IFERROR(S3/W3,"")</f>
        <v/>
      </c>
      <c r="AI3" s="9">
        <f>IFERROR(D3/(T3/U3),"")</f>
        <v/>
      </c>
      <c r="AJ3" s="9">
        <f>IFERROR(P3/V3,"")</f>
        <v/>
      </c>
    </row>
    <row r="4">
      <c r="A4" s="8" t="inlineStr">
        <is>
          <t>核心示例公司2</t>
        </is>
      </c>
      <c r="B4" s="8" t="inlineStr">
        <is>
          <t>CORE2</t>
        </is>
      </c>
      <c r="C4" s="8" t="inlineStr">
        <is>
          <t>Core</t>
        </is>
      </c>
      <c r="D4" s="8" t="n">
        <v>12</v>
      </c>
      <c r="E4" s="8" t="n">
        <v>100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/>
      <c r="M4" s="8" t="n"/>
      <c r="N4" s="8" t="n"/>
      <c r="O4" s="8" t="n"/>
      <c r="P4" s="8" t="n">
        <v>100</v>
      </c>
      <c r="Q4" s="8" t="n"/>
      <c r="R4" s="8" t="n"/>
      <c r="S4" s="8" t="n"/>
      <c r="T4" s="8" t="n">
        <v>1000</v>
      </c>
      <c r="U4" s="8" t="n">
        <v>100</v>
      </c>
      <c r="V4" s="8" t="n">
        <v>1000</v>
      </c>
      <c r="W4" s="9">
        <f>D4*E4</f>
        <v/>
      </c>
      <c r="X4" s="9">
        <f>W4+F4-G4+H4+I4+J4-K4</f>
        <v/>
      </c>
      <c r="Y4" s="9">
        <f>IFERROR(X4/L4,"")</f>
        <v/>
      </c>
      <c r="Z4" s="9">
        <f>IFERROR(X4/M4,"")</f>
        <v/>
      </c>
      <c r="AA4" s="9">
        <f>IFERROR(X4/N4,"")</f>
        <v/>
      </c>
      <c r="AB4" s="9">
        <f>IFERROR(X4/O4,"")</f>
        <v/>
      </c>
      <c r="AC4" s="9">
        <f>IFERROR(W4/P4,"")</f>
        <v/>
      </c>
      <c r="AD4" s="9">
        <f>IFERROR(W4/Q4,"")</f>
        <v/>
      </c>
      <c r="AE4" s="9">
        <f>IFERROR(W4/L4,"")</f>
        <v/>
      </c>
      <c r="AF4" s="9">
        <f>IFERROR(W4/M4,"")</f>
        <v/>
      </c>
      <c r="AG4" s="9">
        <f>IFERROR(R4/W4,"")</f>
        <v/>
      </c>
      <c r="AH4" s="9">
        <f>IFERROR(S4/W4,"")</f>
        <v/>
      </c>
      <c r="AI4" s="9">
        <f>IFERROR(D4/(T4/U4),"")</f>
        <v/>
      </c>
      <c r="AJ4" s="9">
        <f>IFERROR(P4/V4,"")</f>
        <v/>
      </c>
    </row>
    <row r="5">
      <c r="A5" s="8" t="inlineStr">
        <is>
          <t>核心示例公司3</t>
        </is>
      </c>
      <c r="B5" s="8" t="inlineStr">
        <is>
          <t>CORE3</t>
        </is>
      </c>
      <c r="C5" s="8" t="inlineStr">
        <is>
          <t>Core</t>
        </is>
      </c>
      <c r="D5" s="8" t="n">
        <v>13</v>
      </c>
      <c r="E5" s="8" t="n">
        <v>100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/>
      <c r="M5" s="8" t="n"/>
      <c r="N5" s="8" t="n"/>
      <c r="O5" s="8" t="n"/>
      <c r="P5" s="8" t="n">
        <v>100</v>
      </c>
      <c r="Q5" s="8" t="n"/>
      <c r="R5" s="8" t="n"/>
      <c r="S5" s="8" t="n"/>
      <c r="T5" s="8" t="n">
        <v>1000</v>
      </c>
      <c r="U5" s="8" t="n">
        <v>100</v>
      </c>
      <c r="V5" s="8" t="n">
        <v>1000</v>
      </c>
      <c r="W5" s="9">
        <f>D5*E5</f>
        <v/>
      </c>
      <c r="X5" s="9">
        <f>W5+F5-G5+H5+I5+J5-K5</f>
        <v/>
      </c>
      <c r="Y5" s="9">
        <f>IFERROR(X5/L5,"")</f>
        <v/>
      </c>
      <c r="Z5" s="9">
        <f>IFERROR(X5/M5,"")</f>
        <v/>
      </c>
      <c r="AA5" s="9">
        <f>IFERROR(X5/N5,"")</f>
        <v/>
      </c>
      <c r="AB5" s="9">
        <f>IFERROR(X5/O5,"")</f>
        <v/>
      </c>
      <c r="AC5" s="9">
        <f>IFERROR(W5/P5,"")</f>
        <v/>
      </c>
      <c r="AD5" s="9">
        <f>IFERROR(W5/Q5,"")</f>
        <v/>
      </c>
      <c r="AE5" s="9">
        <f>IFERROR(W5/L5,"")</f>
        <v/>
      </c>
      <c r="AF5" s="9">
        <f>IFERROR(W5/M5,"")</f>
        <v/>
      </c>
      <c r="AG5" s="9">
        <f>IFERROR(R5/W5,"")</f>
        <v/>
      </c>
      <c r="AH5" s="9">
        <f>IFERROR(S5/W5,"")</f>
        <v/>
      </c>
      <c r="AI5" s="9">
        <f>IFERROR(D5/(T5/U5),"")</f>
        <v/>
      </c>
      <c r="AJ5" s="9">
        <f>IFERROR(P5/V5,"")</f>
        <v/>
      </c>
    </row>
  </sheetData>
  <autoFilter ref="A1:AJ5"/>
  <printOptions horizontalCentered="1"/>
  <pageMargins left="0.25" right="0.25" top="0.4" bottom="0.4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0" customWidth="1" min="3" max="3"/>
    <col width="24" customWidth="1" min="4" max="4"/>
  </cols>
  <sheetData>
    <row r="1">
      <c r="A1" s="3" t="inlineStr">
        <is>
          <t>项目</t>
        </is>
      </c>
      <c r="B1" s="3" t="inlineStr">
        <is>
          <t>数值</t>
        </is>
      </c>
      <c r="C1" s="3" t="inlineStr">
        <is>
          <t>单位/口径</t>
        </is>
      </c>
      <c r="D1" s="3" t="inlineStr">
        <is>
          <t>来源定位</t>
        </is>
      </c>
    </row>
    <row r="2">
      <c r="A2" s="9" t="inlineStr">
        <is>
          <t>公司</t>
        </is>
      </c>
      <c r="B2" s="9">
        <f>'原始数据与计算'!A2</f>
        <v/>
      </c>
      <c r="C2" s="9" t="inlineStr">
        <is>
          <t>文本</t>
        </is>
      </c>
      <c r="D2" s="9" t="inlineStr">
        <is>
          <t>原始数据与计算</t>
        </is>
      </c>
    </row>
    <row r="3">
      <c r="A3" s="9" t="inlineStr">
        <is>
          <t>代码</t>
        </is>
      </c>
      <c r="B3" s="9">
        <f>'原始数据与计算'!B2</f>
        <v/>
      </c>
      <c r="C3" s="9" t="inlineStr">
        <is>
          <t>文本</t>
        </is>
      </c>
      <c r="D3" s="9" t="inlineStr">
        <is>
          <t>原始数据与计算</t>
        </is>
      </c>
    </row>
    <row r="4">
      <c r="A4" s="9" t="inlineStr">
        <is>
          <t>股价</t>
        </is>
      </c>
      <c r="B4" s="9">
        <f>'原始数据与计算'!D2</f>
        <v/>
      </c>
      <c r="C4" s="9" t="inlineStr">
        <is>
          <t>每股</t>
        </is>
      </c>
      <c r="D4" s="9" t="inlineStr">
        <is>
          <t>原始数据与计算</t>
        </is>
      </c>
    </row>
    <row r="5">
      <c r="A5" s="9" t="inlineStr">
        <is>
          <t>完全稀释股数</t>
        </is>
      </c>
      <c r="B5" s="9">
        <f>'原始数据与计算'!E2</f>
        <v/>
      </c>
      <c r="C5" s="9" t="inlineStr">
        <is>
          <t>股数</t>
        </is>
      </c>
      <c r="D5" s="9" t="inlineStr">
        <is>
          <t>标准化调整</t>
        </is>
      </c>
    </row>
    <row r="6">
      <c r="A6" s="9" t="inlineStr">
        <is>
          <t>市值</t>
        </is>
      </c>
      <c r="B6" s="9">
        <f>'原始数据与计算'!W2</f>
        <v/>
      </c>
      <c r="C6" s="9" t="inlineStr">
        <is>
          <t>金额</t>
        </is>
      </c>
      <c r="D6" s="9" t="inlineStr">
        <is>
          <t>市值与EV桥</t>
        </is>
      </c>
    </row>
    <row r="7">
      <c r="A7" s="9" t="inlineStr">
        <is>
          <t>企业价值</t>
        </is>
      </c>
      <c r="B7" s="9">
        <f>'原始数据与计算'!X2</f>
        <v/>
      </c>
      <c r="C7" s="9" t="inlineStr">
        <is>
          <t>金额</t>
        </is>
      </c>
      <c r="D7" s="9" t="inlineStr">
        <is>
          <t>市值与EV桥</t>
        </is>
      </c>
    </row>
    <row r="8">
      <c r="A8" s="9" t="inlineStr">
        <is>
          <t>主估值指标</t>
        </is>
      </c>
      <c r="B8" s="9" t="inlineStr">
        <is>
          <t>市净率（P/B）</t>
        </is>
      </c>
      <c r="C8" s="9" t="inlineStr">
        <is>
          <t>方法</t>
        </is>
      </c>
      <c r="D8" s="9" t="inlineStr">
        <is>
          <t>假设与方法</t>
        </is>
      </c>
    </row>
    <row r="9">
      <c r="A9" s="9" t="inlineStr">
        <is>
          <t>当前主指标</t>
        </is>
      </c>
      <c r="B9" s="9">
        <f>'原始数据与计算'!AI2</f>
        <v/>
      </c>
      <c r="C9" s="9" t="inlineStr">
        <is>
          <t>倍数/收益率</t>
        </is>
      </c>
      <c r="D9" s="9" t="inlineStr">
        <is>
          <t>交易倍数</t>
        </is>
      </c>
    </row>
  </sheetData>
  <autoFilter ref="A1:D9"/>
  <printOptions horizontalCentered="1"/>
  <pageMargins left="0.25" right="0.25" top="0.4" bottom="0.4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34" customWidth="1" min="11" max="11"/>
    <col width="34" customWidth="1" min="12" max="12"/>
    <col width="34" customWidth="1" min="13" max="13"/>
  </cols>
  <sheetData>
    <row r="1">
      <c r="A1" s="3" t="inlineStr">
        <is>
          <t>公司</t>
        </is>
      </c>
      <c r="B1" s="3" t="inlineStr">
        <is>
          <t>代码</t>
        </is>
      </c>
      <c r="C1" s="3" t="inlineStr">
        <is>
          <t>分类</t>
        </is>
      </c>
      <c r="D1" s="3" t="inlineStr">
        <is>
          <t>同行角色</t>
        </is>
      </c>
      <c r="E1" s="3" t="inlineStr">
        <is>
          <t>业务重合</t>
        </is>
      </c>
      <c r="F1" s="3" t="inlineStr">
        <is>
          <t>商业模式</t>
        </is>
      </c>
      <c r="G1" s="3" t="inlineStr">
        <is>
          <t>收入结构</t>
        </is>
      </c>
      <c r="H1" s="3" t="inlineStr">
        <is>
          <t>市值带</t>
        </is>
      </c>
      <c r="I1" s="3" t="inlineStr">
        <is>
          <t>加权得分</t>
        </is>
      </c>
      <c r="J1" s="3" t="inlineStr">
        <is>
          <t>数据质量</t>
        </is>
      </c>
      <c r="K1" s="3" t="inlineStr">
        <is>
          <t>纳入理由</t>
        </is>
      </c>
      <c r="L1" s="3" t="inlineStr">
        <is>
          <t>分类理由</t>
        </is>
      </c>
      <c r="M1" s="3" t="inlineStr">
        <is>
          <t>指标理由</t>
        </is>
      </c>
    </row>
    <row r="2">
      <c r="A2" s="4" t="inlineStr">
        <is>
          <t>核心示例公司1</t>
        </is>
      </c>
      <c r="B2" s="4" t="inlineStr">
        <is>
          <t>CORE1</t>
        </is>
      </c>
      <c r="C2" s="7" t="inlineStr">
        <is>
          <t>Core</t>
        </is>
      </c>
      <c r="D2" s="7" t="inlineStr">
        <is>
          <t>Commercial Core</t>
        </is>
      </c>
      <c r="E2" s="7" t="n">
        <v>5</v>
      </c>
      <c r="F2" s="7" t="n">
        <v>4</v>
      </c>
      <c r="G2" s="7" t="n">
        <v>4</v>
      </c>
      <c r="H2" s="7" t="n">
        <v>4</v>
      </c>
      <c r="I2" s="7" t="n">
        <v>4.35</v>
      </c>
      <c r="J2" s="7" t="inlineStr">
        <is>
          <t>Pass</t>
        </is>
      </c>
      <c r="K2" s="7" t="inlineStr">
        <is>
          <t>产品、客户和商业模式可比</t>
        </is>
      </c>
      <c r="L2" s="7" t="inlineStr">
        <is>
          <t>满足核心评分和数据质量门槛</t>
        </is>
      </c>
      <c r="M2" s="7" t="inlineStr">
        <is>
          <t>采用P/B并结合ROE解释差异</t>
        </is>
      </c>
    </row>
    <row r="3">
      <c r="A3" s="4" t="inlineStr">
        <is>
          <t>核心示例公司2</t>
        </is>
      </c>
      <c r="B3" s="4" t="inlineStr">
        <is>
          <t>CORE2</t>
        </is>
      </c>
      <c r="C3" s="7" t="inlineStr">
        <is>
          <t>Core</t>
        </is>
      </c>
      <c r="D3" s="7" t="inlineStr">
        <is>
          <t>Commercial Core</t>
        </is>
      </c>
      <c r="E3" s="7" t="n">
        <v>5</v>
      </c>
      <c r="F3" s="7" t="n">
        <v>4</v>
      </c>
      <c r="G3" s="7" t="n">
        <v>4</v>
      </c>
      <c r="H3" s="7" t="n">
        <v>4</v>
      </c>
      <c r="I3" s="7" t="n">
        <v>4.35</v>
      </c>
      <c r="J3" s="7" t="inlineStr">
        <is>
          <t>Pass</t>
        </is>
      </c>
      <c r="K3" s="7" t="inlineStr">
        <is>
          <t>产品、客户和商业模式可比</t>
        </is>
      </c>
      <c r="L3" s="7" t="inlineStr">
        <is>
          <t>满足核心评分和数据质量门槛</t>
        </is>
      </c>
      <c r="M3" s="7" t="inlineStr">
        <is>
          <t>采用P/B并结合ROE解释差异</t>
        </is>
      </c>
    </row>
    <row r="4">
      <c r="A4" s="4" t="inlineStr">
        <is>
          <t>核心示例公司3</t>
        </is>
      </c>
      <c r="B4" s="4" t="inlineStr">
        <is>
          <t>CORE3</t>
        </is>
      </c>
      <c r="C4" s="7" t="inlineStr">
        <is>
          <t>Core</t>
        </is>
      </c>
      <c r="D4" s="7" t="inlineStr">
        <is>
          <t>Commercial Core</t>
        </is>
      </c>
      <c r="E4" s="7" t="n">
        <v>5</v>
      </c>
      <c r="F4" s="7" t="n">
        <v>4</v>
      </c>
      <c r="G4" s="7" t="n">
        <v>4</v>
      </c>
      <c r="H4" s="7" t="n">
        <v>4</v>
      </c>
      <c r="I4" s="7" t="n">
        <v>4.35</v>
      </c>
      <c r="J4" s="7" t="inlineStr">
        <is>
          <t>Pass</t>
        </is>
      </c>
      <c r="K4" s="7" t="inlineStr">
        <is>
          <t>产品、客户和商业模式可比</t>
        </is>
      </c>
      <c r="L4" s="7" t="inlineStr">
        <is>
          <t>满足核心评分和数据质量门槛</t>
        </is>
      </c>
      <c r="M4" s="7" t="inlineStr">
        <is>
          <t>采用P/B并结合ROE解释差异</t>
        </is>
      </c>
    </row>
  </sheetData>
  <autoFilter ref="A1:M4"/>
  <printOptions horizontalCentered="1"/>
  <pageMargins left="0.25" right="0.25" top="0.4" bottom="0.4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3" t="inlineStr">
        <is>
          <t>公司</t>
        </is>
      </c>
      <c r="B1" s="3" t="inlineStr">
        <is>
          <t>代码</t>
        </is>
      </c>
      <c r="C1" s="3" t="inlineStr">
        <is>
          <t>股价日期</t>
        </is>
      </c>
      <c r="D1" s="3" t="inlineStr">
        <is>
          <t>股数日期</t>
        </is>
      </c>
      <c r="E1" s="3" t="inlineStr">
        <is>
          <t>资产负债表日</t>
        </is>
      </c>
      <c r="F1" s="3" t="inlineStr">
        <is>
          <t>预测快照日</t>
        </is>
      </c>
      <c r="G1" s="3" t="inlineStr">
        <is>
          <t>价格口径</t>
        </is>
      </c>
      <c r="H1" s="3" t="inlineStr">
        <is>
          <t>股本来源</t>
        </is>
      </c>
      <c r="I1" s="3" t="inlineStr">
        <is>
          <t>基本面来源</t>
        </is>
      </c>
      <c r="J1" s="3" t="inlineStr">
        <is>
          <t>公司行动来源</t>
        </is>
      </c>
    </row>
    <row r="2">
      <c r="A2" s="4" t="inlineStr">
        <is>
          <t>目标示例公司</t>
        </is>
      </c>
      <c r="B2" s="4" t="inlineStr">
        <is>
          <t>TARGET</t>
        </is>
      </c>
      <c r="C2" s="7" t="inlineStr">
        <is>
          <t>2026-06-30</t>
        </is>
      </c>
      <c r="D2" s="7" t="inlineStr">
        <is>
          <t>2026-06-30</t>
        </is>
      </c>
      <c r="E2" s="7" t="inlineStr">
        <is>
          <t>2026-03-31</t>
        </is>
      </c>
      <c r="F2" s="7" t="n"/>
      <c r="G2" s="7" t="inlineStr">
        <is>
          <t>unadjusted_close</t>
        </is>
      </c>
      <c r="H2" s="7" t="inlineStr">
        <is>
          <t>SRC-DEMO</t>
        </is>
      </c>
      <c r="I2" s="7" t="inlineStr">
        <is>
          <t>SRC-DEMO</t>
        </is>
      </c>
      <c r="J2" s="7" t="inlineStr">
        <is>
          <t>SRC-DEMO</t>
        </is>
      </c>
    </row>
    <row r="3">
      <c r="A3" s="4" t="inlineStr">
        <is>
          <t>核心示例公司1</t>
        </is>
      </c>
      <c r="B3" s="4" t="inlineStr">
        <is>
          <t>CORE1</t>
        </is>
      </c>
      <c r="C3" s="7" t="inlineStr">
        <is>
          <t>2026-06-30</t>
        </is>
      </c>
      <c r="D3" s="7" t="inlineStr">
        <is>
          <t>2026-06-30</t>
        </is>
      </c>
      <c r="E3" s="7" t="inlineStr">
        <is>
          <t>2026-03-31</t>
        </is>
      </c>
      <c r="F3" s="7" t="n"/>
      <c r="G3" s="7" t="inlineStr">
        <is>
          <t>unadjusted_close</t>
        </is>
      </c>
      <c r="H3" s="7" t="inlineStr">
        <is>
          <t>SRC-DEMO</t>
        </is>
      </c>
      <c r="I3" s="7" t="inlineStr">
        <is>
          <t>SRC-DEMO</t>
        </is>
      </c>
      <c r="J3" s="7" t="inlineStr">
        <is>
          <t>SRC-DEMO</t>
        </is>
      </c>
    </row>
    <row r="4">
      <c r="A4" s="4" t="inlineStr">
        <is>
          <t>核心示例公司2</t>
        </is>
      </c>
      <c r="B4" s="4" t="inlineStr">
        <is>
          <t>CORE2</t>
        </is>
      </c>
      <c r="C4" s="7" t="inlineStr">
        <is>
          <t>2026-06-30</t>
        </is>
      </c>
      <c r="D4" s="7" t="inlineStr">
        <is>
          <t>2026-06-30</t>
        </is>
      </c>
      <c r="E4" s="7" t="inlineStr">
        <is>
          <t>2026-03-31</t>
        </is>
      </c>
      <c r="F4" s="7" t="n"/>
      <c r="G4" s="7" t="inlineStr">
        <is>
          <t>unadjusted_close</t>
        </is>
      </c>
      <c r="H4" s="7" t="inlineStr">
        <is>
          <t>SRC-DEMO</t>
        </is>
      </c>
      <c r="I4" s="7" t="inlineStr">
        <is>
          <t>SRC-DEMO</t>
        </is>
      </c>
      <c r="J4" s="7" t="inlineStr">
        <is>
          <t>SRC-DEMO</t>
        </is>
      </c>
    </row>
    <row r="5">
      <c r="A5" s="4" t="inlineStr">
        <is>
          <t>核心示例公司3</t>
        </is>
      </c>
      <c r="B5" s="4" t="inlineStr">
        <is>
          <t>CORE3</t>
        </is>
      </c>
      <c r="C5" s="7" t="inlineStr">
        <is>
          <t>2026-06-30</t>
        </is>
      </c>
      <c r="D5" s="7" t="inlineStr">
        <is>
          <t>2026-06-30</t>
        </is>
      </c>
      <c r="E5" s="7" t="inlineStr">
        <is>
          <t>2026-03-31</t>
        </is>
      </c>
      <c r="F5" s="7" t="n"/>
      <c r="G5" s="7" t="inlineStr">
        <is>
          <t>unadjusted_close</t>
        </is>
      </c>
      <c r="H5" s="7" t="inlineStr">
        <is>
          <t>SRC-DEMO</t>
        </is>
      </c>
      <c r="I5" s="7" t="inlineStr">
        <is>
          <t>SRC-DEMO</t>
        </is>
      </c>
      <c r="J5" s="7" t="inlineStr">
        <is>
          <t>SRC-DEMO</t>
        </is>
      </c>
    </row>
  </sheetData>
  <autoFilter ref="A1:J5"/>
  <printOptions horizontalCentered="1"/>
  <pageMargins left="0.25" right="0.25" top="0.4" bottom="0.4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8" customWidth="1" min="10" max="10"/>
  </cols>
  <sheetData>
    <row r="1">
      <c r="A1" s="3" t="inlineStr">
        <is>
          <t>公司</t>
        </is>
      </c>
      <c r="B1" s="3" t="inlineStr">
        <is>
          <t>报告股数</t>
        </is>
      </c>
      <c r="C1" s="3" t="inlineStr">
        <is>
          <t>期权增量</t>
        </is>
      </c>
      <c r="D1" s="3" t="inlineStr">
        <is>
          <t>限制性股票</t>
        </is>
      </c>
      <c r="E1" s="3" t="inlineStr">
        <is>
          <t>可转债增量</t>
        </is>
      </c>
      <c r="F1" s="3" t="inlineStr">
        <is>
          <t>其他稀释</t>
        </is>
      </c>
      <c r="G1" s="3" t="inlineStr">
        <is>
          <t>已完成发行</t>
        </is>
      </c>
      <c r="H1" s="3" t="inlineStr">
        <is>
          <t>已完成回购</t>
        </is>
      </c>
      <c r="I1" s="3" t="inlineStr">
        <is>
          <t>完全稀释股数</t>
        </is>
      </c>
      <c r="J1" s="3" t="inlineStr">
        <is>
          <t>债务类净调整</t>
        </is>
      </c>
    </row>
    <row r="2">
      <c r="A2" s="9" t="inlineStr">
        <is>
          <t>目标示例公司</t>
        </is>
      </c>
      <c r="B2" s="8" t="n">
        <v>100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9">
        <f>B2+SUM(C2:G2)-H2</f>
        <v/>
      </c>
      <c r="J2" s="9">
        <f>'原始数据与计算'!X2-'原始数据与计算'!W2</f>
        <v/>
      </c>
    </row>
    <row r="3">
      <c r="A3" s="9" t="inlineStr">
        <is>
          <t>核心示例公司1</t>
        </is>
      </c>
      <c r="B3" s="8" t="n">
        <v>100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9">
        <f>B3+SUM(C3:G3)-H3</f>
        <v/>
      </c>
      <c r="J3" s="9">
        <f>'原始数据与计算'!X3-'原始数据与计算'!W3</f>
        <v/>
      </c>
    </row>
    <row r="4">
      <c r="A4" s="9" t="inlineStr">
        <is>
          <t>核心示例公司2</t>
        </is>
      </c>
      <c r="B4" s="8" t="n">
        <v>100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9">
        <f>B4+SUM(C4:G4)-H4</f>
        <v/>
      </c>
      <c r="J4" s="9">
        <f>'原始数据与计算'!X4-'原始数据与计算'!W4</f>
        <v/>
      </c>
    </row>
    <row r="5">
      <c r="A5" s="9" t="inlineStr">
        <is>
          <t>核心示例公司3</t>
        </is>
      </c>
      <c r="B5" s="8" t="n">
        <v>100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9">
        <f>B5+SUM(C5:G5)-H5</f>
        <v/>
      </c>
      <c r="J5" s="9">
        <f>'原始数据与计算'!X5-'原始数据与计算'!W5</f>
        <v/>
      </c>
    </row>
  </sheetData>
  <autoFilter ref="A1:J5"/>
  <printOptions horizontalCentered="1"/>
  <pageMargins left="0.25" right="0.25" top="0.4" bottom="0.4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5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16" customWidth="1" min="11" max="11"/>
    <col width="20" customWidth="1" min="12" max="12"/>
    <col width="16" customWidth="1" min="13" max="13"/>
  </cols>
  <sheetData>
    <row r="1">
      <c r="A1" s="3" t="inlineStr">
        <is>
          <t>公司</t>
        </is>
      </c>
      <c r="B1" s="3" t="inlineStr">
        <is>
          <t>分类</t>
        </is>
      </c>
      <c r="C1" s="3" t="inlineStr">
        <is>
          <t>股价</t>
        </is>
      </c>
      <c r="D1" s="3" t="inlineStr">
        <is>
          <t>稀释股数</t>
        </is>
      </c>
      <c r="E1" s="3" t="inlineStr">
        <is>
          <t>市值</t>
        </is>
      </c>
      <c r="F1" s="3" t="inlineStr">
        <is>
          <t>债务</t>
        </is>
      </c>
      <c r="G1" s="3" t="inlineStr">
        <is>
          <t>现金</t>
        </is>
      </c>
      <c r="H1" s="3" t="inlineStr">
        <is>
          <t>优先股</t>
        </is>
      </c>
      <c r="I1" s="3" t="inlineStr">
        <is>
          <t>少数股东</t>
        </is>
      </c>
      <c r="J1" s="3" t="inlineStr">
        <is>
          <t>债务类调整</t>
        </is>
      </c>
      <c r="K1" s="3" t="inlineStr">
        <is>
          <t>非经营投资</t>
        </is>
      </c>
      <c r="L1" s="3" t="inlineStr">
        <is>
          <t>净债务及类债务调整</t>
        </is>
      </c>
      <c r="M1" s="3" t="inlineStr">
        <is>
          <t>企业价值</t>
        </is>
      </c>
    </row>
    <row r="2">
      <c r="A2" s="9">
        <f>'原始数据与计算'!A2</f>
        <v/>
      </c>
      <c r="B2" s="9">
        <f>'原始数据与计算'!C2</f>
        <v/>
      </c>
      <c r="C2" s="9">
        <f>'原始数据与计算'!D2</f>
        <v/>
      </c>
      <c r="D2" s="9">
        <f>'原始数据与计算'!E2</f>
        <v/>
      </c>
      <c r="E2" s="9">
        <f>C2*D2</f>
        <v/>
      </c>
      <c r="F2" s="9">
        <f>'原始数据与计算'!F2</f>
        <v/>
      </c>
      <c r="G2" s="9">
        <f>'原始数据与计算'!G2</f>
        <v/>
      </c>
      <c r="H2" s="9">
        <f>'原始数据与计算'!H2</f>
        <v/>
      </c>
      <c r="I2" s="9">
        <f>'原始数据与计算'!I2</f>
        <v/>
      </c>
      <c r="J2" s="9">
        <f>'原始数据与计算'!J2</f>
        <v/>
      </c>
      <c r="K2" s="9">
        <f>'原始数据与计算'!K2</f>
        <v/>
      </c>
      <c r="L2" s="9">
        <f>F2-G2+H2+I2+J2-K2</f>
        <v/>
      </c>
      <c r="M2" s="9">
        <f>E2+L2</f>
        <v/>
      </c>
    </row>
    <row r="3">
      <c r="A3" s="9">
        <f>'原始数据与计算'!A3</f>
        <v/>
      </c>
      <c r="B3" s="9">
        <f>'原始数据与计算'!C3</f>
        <v/>
      </c>
      <c r="C3" s="9">
        <f>'原始数据与计算'!D3</f>
        <v/>
      </c>
      <c r="D3" s="9">
        <f>'原始数据与计算'!E3</f>
        <v/>
      </c>
      <c r="E3" s="9">
        <f>C3*D3</f>
        <v/>
      </c>
      <c r="F3" s="9">
        <f>'原始数据与计算'!F3</f>
        <v/>
      </c>
      <c r="G3" s="9">
        <f>'原始数据与计算'!G3</f>
        <v/>
      </c>
      <c r="H3" s="9">
        <f>'原始数据与计算'!H3</f>
        <v/>
      </c>
      <c r="I3" s="9">
        <f>'原始数据与计算'!I3</f>
        <v/>
      </c>
      <c r="J3" s="9">
        <f>'原始数据与计算'!J3</f>
        <v/>
      </c>
      <c r="K3" s="9">
        <f>'原始数据与计算'!K3</f>
        <v/>
      </c>
      <c r="L3" s="9">
        <f>F3-G3+H3+I3+J3-K3</f>
        <v/>
      </c>
      <c r="M3" s="9">
        <f>E3+L3</f>
        <v/>
      </c>
    </row>
    <row r="4">
      <c r="A4" s="9">
        <f>'原始数据与计算'!A4</f>
        <v/>
      </c>
      <c r="B4" s="9">
        <f>'原始数据与计算'!C4</f>
        <v/>
      </c>
      <c r="C4" s="9">
        <f>'原始数据与计算'!D4</f>
        <v/>
      </c>
      <c r="D4" s="9">
        <f>'原始数据与计算'!E4</f>
        <v/>
      </c>
      <c r="E4" s="9">
        <f>C4*D4</f>
        <v/>
      </c>
      <c r="F4" s="9">
        <f>'原始数据与计算'!F4</f>
        <v/>
      </c>
      <c r="G4" s="9">
        <f>'原始数据与计算'!G4</f>
        <v/>
      </c>
      <c r="H4" s="9">
        <f>'原始数据与计算'!H4</f>
        <v/>
      </c>
      <c r="I4" s="9">
        <f>'原始数据与计算'!I4</f>
        <v/>
      </c>
      <c r="J4" s="9">
        <f>'原始数据与计算'!J4</f>
        <v/>
      </c>
      <c r="K4" s="9">
        <f>'原始数据与计算'!K4</f>
        <v/>
      </c>
      <c r="L4" s="9">
        <f>F4-G4+H4+I4+J4-K4</f>
        <v/>
      </c>
      <c r="M4" s="9">
        <f>E4+L4</f>
        <v/>
      </c>
    </row>
    <row r="5">
      <c r="A5" s="9">
        <f>'原始数据与计算'!A5</f>
        <v/>
      </c>
      <c r="B5" s="9">
        <f>'原始数据与计算'!C5</f>
        <v/>
      </c>
      <c r="C5" s="9">
        <f>'原始数据与计算'!D5</f>
        <v/>
      </c>
      <c r="D5" s="9">
        <f>'原始数据与计算'!E5</f>
        <v/>
      </c>
      <c r="E5" s="9">
        <f>C5*D5</f>
        <v/>
      </c>
      <c r="F5" s="9">
        <f>'原始数据与计算'!F5</f>
        <v/>
      </c>
      <c r="G5" s="9">
        <f>'原始数据与计算'!G5</f>
        <v/>
      </c>
      <c r="H5" s="9">
        <f>'原始数据与计算'!H5</f>
        <v/>
      </c>
      <c r="I5" s="9">
        <f>'原始数据与计算'!I5</f>
        <v/>
      </c>
      <c r="J5" s="9">
        <f>'原始数据与计算'!J5</f>
        <v/>
      </c>
      <c r="K5" s="9">
        <f>'原始数据与计算'!K5</f>
        <v/>
      </c>
      <c r="L5" s="9">
        <f>F5-G5+H5+I5+J5-K5</f>
        <v/>
      </c>
      <c r="M5" s="9">
        <f>E5+L5</f>
        <v/>
      </c>
    </row>
  </sheetData>
  <autoFilter ref="A1:M5"/>
  <printOptions horizontalCentered="1"/>
  <pageMargins left="0.25" right="0.25" top="0.4" bottom="0.4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3" t="inlineStr">
        <is>
          <t>公司</t>
        </is>
      </c>
      <c r="B1" s="3" t="inlineStr">
        <is>
          <t>分类</t>
        </is>
      </c>
      <c r="C1" s="3" t="inlineStr">
        <is>
          <t>ltm_ev_revenue</t>
        </is>
      </c>
      <c r="D1" s="3" t="inlineStr">
        <is>
          <t>ntm_ev_revenue</t>
        </is>
      </c>
      <c r="E1" s="3" t="inlineStr">
        <is>
          <t>ltm_ev_ebitda</t>
        </is>
      </c>
      <c r="F1" s="3" t="inlineStr">
        <is>
          <t>ntm_ev_ebitda</t>
        </is>
      </c>
      <c r="G1" s="3" t="inlineStr">
        <is>
          <t>ltm_pe</t>
        </is>
      </c>
      <c r="H1" s="3" t="inlineStr">
        <is>
          <t>ntm_pe</t>
        </is>
      </c>
      <c r="I1" s="3" t="inlineStr">
        <is>
          <t>ltm_ps</t>
        </is>
      </c>
      <c r="J1" s="3" t="inlineStr">
        <is>
          <t>ntm_ps</t>
        </is>
      </c>
      <c r="K1" s="3" t="inlineStr">
        <is>
          <t>ltm_fcf_yield</t>
        </is>
      </c>
      <c r="L1" s="3" t="inlineStr">
        <is>
          <t>ntm_fcf_yield</t>
        </is>
      </c>
      <c r="M1" s="3" t="inlineStr">
        <is>
          <t>price_to_book</t>
        </is>
      </c>
      <c r="N1" s="3" t="inlineStr">
        <is>
          <t>ltm_roe</t>
        </is>
      </c>
    </row>
    <row r="2">
      <c r="A2" s="9">
        <f>'原始数据与计算'!A2</f>
        <v/>
      </c>
      <c r="B2" s="9">
        <f>'原始数据与计算'!C2</f>
        <v/>
      </c>
      <c r="C2" s="9">
        <f>'原始数据与计算'!Y2</f>
        <v/>
      </c>
      <c r="D2" s="9">
        <f>'原始数据与计算'!Z2</f>
        <v/>
      </c>
      <c r="E2" s="9">
        <f>'原始数据与计算'!AA2</f>
        <v/>
      </c>
      <c r="F2" s="9">
        <f>'原始数据与计算'!AB2</f>
        <v/>
      </c>
      <c r="G2" s="9">
        <f>'原始数据与计算'!AC2</f>
        <v/>
      </c>
      <c r="H2" s="9">
        <f>'原始数据与计算'!AD2</f>
        <v/>
      </c>
      <c r="I2" s="9">
        <f>'原始数据与计算'!AE2</f>
        <v/>
      </c>
      <c r="J2" s="9">
        <f>'原始数据与计算'!AF2</f>
        <v/>
      </c>
      <c r="K2" s="9">
        <f>'原始数据与计算'!AG2</f>
        <v/>
      </c>
      <c r="L2" s="9">
        <f>'原始数据与计算'!AH2</f>
        <v/>
      </c>
      <c r="M2" s="9">
        <f>'原始数据与计算'!AI2</f>
        <v/>
      </c>
      <c r="N2" s="9">
        <f>'原始数据与计算'!AJ2</f>
        <v/>
      </c>
    </row>
    <row r="3">
      <c r="A3" s="9">
        <f>'原始数据与计算'!A3</f>
        <v/>
      </c>
      <c r="B3" s="9">
        <f>'原始数据与计算'!C3</f>
        <v/>
      </c>
      <c r="C3" s="9">
        <f>'原始数据与计算'!Y3</f>
        <v/>
      </c>
      <c r="D3" s="9">
        <f>'原始数据与计算'!Z3</f>
        <v/>
      </c>
      <c r="E3" s="9">
        <f>'原始数据与计算'!AA3</f>
        <v/>
      </c>
      <c r="F3" s="9">
        <f>'原始数据与计算'!AB3</f>
        <v/>
      </c>
      <c r="G3" s="9">
        <f>'原始数据与计算'!AC3</f>
        <v/>
      </c>
      <c r="H3" s="9">
        <f>'原始数据与计算'!AD3</f>
        <v/>
      </c>
      <c r="I3" s="9">
        <f>'原始数据与计算'!AE3</f>
        <v/>
      </c>
      <c r="J3" s="9">
        <f>'原始数据与计算'!AF3</f>
        <v/>
      </c>
      <c r="K3" s="9">
        <f>'原始数据与计算'!AG3</f>
        <v/>
      </c>
      <c r="L3" s="9">
        <f>'原始数据与计算'!AH3</f>
        <v/>
      </c>
      <c r="M3" s="9">
        <f>'原始数据与计算'!AI3</f>
        <v/>
      </c>
      <c r="N3" s="9">
        <f>'原始数据与计算'!AJ3</f>
        <v/>
      </c>
    </row>
    <row r="4">
      <c r="A4" s="9">
        <f>'原始数据与计算'!A4</f>
        <v/>
      </c>
      <c r="B4" s="9">
        <f>'原始数据与计算'!C4</f>
        <v/>
      </c>
      <c r="C4" s="9">
        <f>'原始数据与计算'!Y4</f>
        <v/>
      </c>
      <c r="D4" s="9">
        <f>'原始数据与计算'!Z4</f>
        <v/>
      </c>
      <c r="E4" s="9">
        <f>'原始数据与计算'!AA4</f>
        <v/>
      </c>
      <c r="F4" s="9">
        <f>'原始数据与计算'!AB4</f>
        <v/>
      </c>
      <c r="G4" s="9">
        <f>'原始数据与计算'!AC4</f>
        <v/>
      </c>
      <c r="H4" s="9">
        <f>'原始数据与计算'!AD4</f>
        <v/>
      </c>
      <c r="I4" s="9">
        <f>'原始数据与计算'!AE4</f>
        <v/>
      </c>
      <c r="J4" s="9">
        <f>'原始数据与计算'!AF4</f>
        <v/>
      </c>
      <c r="K4" s="9">
        <f>'原始数据与计算'!AG4</f>
        <v/>
      </c>
      <c r="L4" s="9">
        <f>'原始数据与计算'!AH4</f>
        <v/>
      </c>
      <c r="M4" s="9">
        <f>'原始数据与计算'!AI4</f>
        <v/>
      </c>
      <c r="N4" s="9">
        <f>'原始数据与计算'!AJ4</f>
        <v/>
      </c>
    </row>
    <row r="5">
      <c r="A5" s="9">
        <f>'原始数据与计算'!A5</f>
        <v/>
      </c>
      <c r="B5" s="9">
        <f>'原始数据与计算'!C5</f>
        <v/>
      </c>
      <c r="C5" s="9">
        <f>'原始数据与计算'!Y5</f>
        <v/>
      </c>
      <c r="D5" s="9">
        <f>'原始数据与计算'!Z5</f>
        <v/>
      </c>
      <c r="E5" s="9">
        <f>'原始数据与计算'!AA5</f>
        <v/>
      </c>
      <c r="F5" s="9">
        <f>'原始数据与计算'!AB5</f>
        <v/>
      </c>
      <c r="G5" s="9">
        <f>'原始数据与计算'!AC5</f>
        <v/>
      </c>
      <c r="H5" s="9">
        <f>'原始数据与计算'!AD5</f>
        <v/>
      </c>
      <c r="I5" s="9">
        <f>'原始数据与计算'!AE5</f>
        <v/>
      </c>
      <c r="J5" s="9">
        <f>'原始数据与计算'!AF5</f>
        <v/>
      </c>
      <c r="K5" s="9">
        <f>'原始数据与计算'!AG5</f>
        <v/>
      </c>
      <c r="L5" s="9">
        <f>'原始数据与计算'!AH5</f>
        <v/>
      </c>
      <c r="M5" s="9">
        <f>'原始数据与计算'!AI5</f>
        <v/>
      </c>
      <c r="N5" s="9">
        <f>'原始数据与计算'!AJ5</f>
        <v/>
      </c>
    </row>
  </sheetData>
  <autoFilter ref="A1:N5"/>
  <printOptions horizontalCentered="1"/>
  <pageMargins left="0.25" right="0.25" top="0.4" bottom="0.4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公司</t>
        </is>
      </c>
      <c r="B1" s="3" t="inlineStr">
        <is>
          <t>ltm_ev_revenue</t>
        </is>
      </c>
      <c r="C1" s="3" t="inlineStr">
        <is>
          <t>ntm_ev_revenue</t>
        </is>
      </c>
      <c r="D1" s="3" t="inlineStr">
        <is>
          <t>ltm_ev_ebitda</t>
        </is>
      </c>
      <c r="E1" s="3" t="inlineStr">
        <is>
          <t>ntm_ev_ebitda</t>
        </is>
      </c>
      <c r="F1" s="3" t="inlineStr">
        <is>
          <t>ltm_pe</t>
        </is>
      </c>
      <c r="G1" s="3" t="inlineStr">
        <is>
          <t>ntm_pe</t>
        </is>
      </c>
      <c r="H1" s="3" t="inlineStr">
        <is>
          <t>ltm_ps</t>
        </is>
      </c>
      <c r="I1" s="3" t="inlineStr">
        <is>
          <t>ntm_ps</t>
        </is>
      </c>
      <c r="J1" s="3" t="inlineStr">
        <is>
          <t>ltm_fcf_yield</t>
        </is>
      </c>
      <c r="K1" s="3" t="inlineStr">
        <is>
          <t>ntm_fcf_yield</t>
        </is>
      </c>
      <c r="L1" s="3" t="inlineStr">
        <is>
          <t>price_to_book</t>
        </is>
      </c>
      <c r="M1" s="3" t="inlineStr">
        <is>
          <t>ltm_roe</t>
        </is>
      </c>
    </row>
    <row r="2">
      <c r="A2" s="9">
        <f>'原始数据与计算'!A3</f>
        <v/>
      </c>
      <c r="B2" s="9">
        <f>'原始数据与计算'!Y3</f>
        <v/>
      </c>
      <c r="C2" s="9">
        <f>'原始数据与计算'!Z3</f>
        <v/>
      </c>
      <c r="D2" s="9">
        <f>'原始数据与计算'!AA3</f>
        <v/>
      </c>
      <c r="E2" s="9">
        <f>'原始数据与计算'!AB3</f>
        <v/>
      </c>
      <c r="F2" s="9">
        <f>'原始数据与计算'!AC3</f>
        <v/>
      </c>
      <c r="G2" s="9">
        <f>'原始数据与计算'!AD3</f>
        <v/>
      </c>
      <c r="H2" s="9">
        <f>'原始数据与计算'!AE3</f>
        <v/>
      </c>
      <c r="I2" s="9">
        <f>'原始数据与计算'!AF3</f>
        <v/>
      </c>
      <c r="J2" s="9">
        <f>'原始数据与计算'!AG3</f>
        <v/>
      </c>
      <c r="K2" s="9">
        <f>'原始数据与计算'!AH3</f>
        <v/>
      </c>
      <c r="L2" s="9">
        <f>'原始数据与计算'!AI3</f>
        <v/>
      </c>
      <c r="M2" s="9">
        <f>'原始数据与计算'!AJ3</f>
        <v/>
      </c>
    </row>
    <row r="3">
      <c r="A3" s="9">
        <f>'原始数据与计算'!A4</f>
        <v/>
      </c>
      <c r="B3" s="9">
        <f>'原始数据与计算'!Y4</f>
        <v/>
      </c>
      <c r="C3" s="9">
        <f>'原始数据与计算'!Z4</f>
        <v/>
      </c>
      <c r="D3" s="9">
        <f>'原始数据与计算'!AA4</f>
        <v/>
      </c>
      <c r="E3" s="9">
        <f>'原始数据与计算'!AB4</f>
        <v/>
      </c>
      <c r="F3" s="9">
        <f>'原始数据与计算'!AC4</f>
        <v/>
      </c>
      <c r="G3" s="9">
        <f>'原始数据与计算'!AD4</f>
        <v/>
      </c>
      <c r="H3" s="9">
        <f>'原始数据与计算'!AE4</f>
        <v/>
      </c>
      <c r="I3" s="9">
        <f>'原始数据与计算'!AF4</f>
        <v/>
      </c>
      <c r="J3" s="9">
        <f>'原始数据与计算'!AG4</f>
        <v/>
      </c>
      <c r="K3" s="9">
        <f>'原始数据与计算'!AH4</f>
        <v/>
      </c>
      <c r="L3" s="9">
        <f>'原始数据与计算'!AI4</f>
        <v/>
      </c>
      <c r="M3" s="9">
        <f>'原始数据与计算'!AJ4</f>
        <v/>
      </c>
    </row>
    <row r="4">
      <c r="A4" s="9">
        <f>'原始数据与计算'!A5</f>
        <v/>
      </c>
      <c r="B4" s="9">
        <f>'原始数据与计算'!Y5</f>
        <v/>
      </c>
      <c r="C4" s="9">
        <f>'原始数据与计算'!Z5</f>
        <v/>
      </c>
      <c r="D4" s="9">
        <f>'原始数据与计算'!AA5</f>
        <v/>
      </c>
      <c r="E4" s="9">
        <f>'原始数据与计算'!AB5</f>
        <v/>
      </c>
      <c r="F4" s="9">
        <f>'原始数据与计算'!AC5</f>
        <v/>
      </c>
      <c r="G4" s="9">
        <f>'原始数据与计算'!AD5</f>
        <v/>
      </c>
      <c r="H4" s="9">
        <f>'原始数据与计算'!AE5</f>
        <v/>
      </c>
      <c r="I4" s="9">
        <f>'原始数据与计算'!AF5</f>
        <v/>
      </c>
      <c r="J4" s="9">
        <f>'原始数据与计算'!AG5</f>
        <v/>
      </c>
      <c r="K4" s="9">
        <f>'原始数据与计算'!AH5</f>
        <v/>
      </c>
      <c r="L4" s="9">
        <f>'原始数据与计算'!AI5</f>
        <v/>
      </c>
      <c r="M4" s="9">
        <f>'原始数据与计算'!AJ5</f>
        <v/>
      </c>
    </row>
  </sheetData>
  <autoFilter ref="A1:M4"/>
  <printOptions horizontalCentered="1"/>
  <pageMargins left="0.25" right="0.25" top="0.4" bottom="0.4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指标</t>
        </is>
      </c>
      <c r="B1" s="3" t="inlineStr">
        <is>
          <t>样本数</t>
        </is>
      </c>
      <c r="C1" s="3" t="inlineStr">
        <is>
          <t>P25</t>
        </is>
      </c>
      <c r="D1" s="3" t="inlineStr">
        <is>
          <t>中位数</t>
        </is>
      </c>
      <c r="E1" s="3" t="inlineStr">
        <is>
          <t>P75</t>
        </is>
      </c>
      <c r="F1" s="3" t="inlineStr">
        <is>
          <t>是否稳健</t>
        </is>
      </c>
    </row>
    <row r="2">
      <c r="A2" s="9" t="inlineStr">
        <is>
          <t>ltm_ev_revenue</t>
        </is>
      </c>
      <c r="B2" s="9">
        <f>COUNT('核心样本'!B2:B4)</f>
        <v/>
      </c>
      <c r="C2" s="10">
        <f>IFERROR(PERCENTILE('核心样本'!B2:B4,0.25),"")</f>
        <v/>
      </c>
      <c r="D2" s="10">
        <f>IFERROR(MEDIAN('核心样本'!B2:B4),"")</f>
        <v/>
      </c>
      <c r="E2" s="10">
        <f>IFERROR(PERCENTILE('核心样本'!B2:B4,0.75),"")</f>
        <v/>
      </c>
      <c r="F2" s="9">
        <f>IF(B2&gt;=3,"是","否")</f>
        <v/>
      </c>
    </row>
    <row r="3">
      <c r="A3" s="9" t="inlineStr">
        <is>
          <t>ntm_ev_revenue</t>
        </is>
      </c>
      <c r="B3" s="9">
        <f>COUNT('核心样本'!C2:C4)</f>
        <v/>
      </c>
      <c r="C3" s="10">
        <f>IFERROR(PERCENTILE('核心样本'!C2:C4,0.25),"")</f>
        <v/>
      </c>
      <c r="D3" s="10">
        <f>IFERROR(MEDIAN('核心样本'!C2:C4),"")</f>
        <v/>
      </c>
      <c r="E3" s="10">
        <f>IFERROR(PERCENTILE('核心样本'!C2:C4,0.75),"")</f>
        <v/>
      </c>
      <c r="F3" s="9">
        <f>IF(B3&gt;=3,"是","否")</f>
        <v/>
      </c>
    </row>
    <row r="4">
      <c r="A4" s="9" t="inlineStr">
        <is>
          <t>ltm_ev_ebitda</t>
        </is>
      </c>
      <c r="B4" s="9">
        <f>COUNT('核心样本'!D2:D4)</f>
        <v/>
      </c>
      <c r="C4" s="10">
        <f>IFERROR(PERCENTILE('核心样本'!D2:D4,0.25),"")</f>
        <v/>
      </c>
      <c r="D4" s="10">
        <f>IFERROR(MEDIAN('核心样本'!D2:D4),"")</f>
        <v/>
      </c>
      <c r="E4" s="10">
        <f>IFERROR(PERCENTILE('核心样本'!D2:D4,0.75),"")</f>
        <v/>
      </c>
      <c r="F4" s="9">
        <f>IF(B4&gt;=3,"是","否")</f>
        <v/>
      </c>
    </row>
    <row r="5">
      <c r="A5" s="9" t="inlineStr">
        <is>
          <t>ntm_ev_ebitda</t>
        </is>
      </c>
      <c r="B5" s="9">
        <f>COUNT('核心样本'!E2:E4)</f>
        <v/>
      </c>
      <c r="C5" s="10">
        <f>IFERROR(PERCENTILE('核心样本'!E2:E4,0.25),"")</f>
        <v/>
      </c>
      <c r="D5" s="10">
        <f>IFERROR(MEDIAN('核心样本'!E2:E4),"")</f>
        <v/>
      </c>
      <c r="E5" s="10">
        <f>IFERROR(PERCENTILE('核心样本'!E2:E4,0.75),"")</f>
        <v/>
      </c>
      <c r="F5" s="9">
        <f>IF(B5&gt;=3,"是","否")</f>
        <v/>
      </c>
    </row>
    <row r="6">
      <c r="A6" s="9" t="inlineStr">
        <is>
          <t>ltm_pe</t>
        </is>
      </c>
      <c r="B6" s="9">
        <f>COUNT('核心样本'!F2:F4)</f>
        <v/>
      </c>
      <c r="C6" s="10">
        <f>IFERROR(PERCENTILE('核心样本'!F2:F4,0.25),"")</f>
        <v/>
      </c>
      <c r="D6" s="10">
        <f>IFERROR(MEDIAN('核心样本'!F2:F4),"")</f>
        <v/>
      </c>
      <c r="E6" s="10">
        <f>IFERROR(PERCENTILE('核心样本'!F2:F4,0.75),"")</f>
        <v/>
      </c>
      <c r="F6" s="9">
        <f>IF(B6&gt;=3,"是","否")</f>
        <v/>
      </c>
    </row>
    <row r="7">
      <c r="A7" s="9" t="inlineStr">
        <is>
          <t>ntm_pe</t>
        </is>
      </c>
      <c r="B7" s="9">
        <f>COUNT('核心样本'!G2:G4)</f>
        <v/>
      </c>
      <c r="C7" s="10">
        <f>IFERROR(PERCENTILE('核心样本'!G2:G4,0.25),"")</f>
        <v/>
      </c>
      <c r="D7" s="10">
        <f>IFERROR(MEDIAN('核心样本'!G2:G4),"")</f>
        <v/>
      </c>
      <c r="E7" s="10">
        <f>IFERROR(PERCENTILE('核心样本'!G2:G4,0.75),"")</f>
        <v/>
      </c>
      <c r="F7" s="9">
        <f>IF(B7&gt;=3,"是","否")</f>
        <v/>
      </c>
    </row>
    <row r="8">
      <c r="A8" s="9" t="inlineStr">
        <is>
          <t>ltm_ps</t>
        </is>
      </c>
      <c r="B8" s="9">
        <f>COUNT('核心样本'!H2:H4)</f>
        <v/>
      </c>
      <c r="C8" s="10">
        <f>IFERROR(PERCENTILE('核心样本'!H2:H4,0.25),"")</f>
        <v/>
      </c>
      <c r="D8" s="10">
        <f>IFERROR(MEDIAN('核心样本'!H2:H4),"")</f>
        <v/>
      </c>
      <c r="E8" s="10">
        <f>IFERROR(PERCENTILE('核心样本'!H2:H4,0.75),"")</f>
        <v/>
      </c>
      <c r="F8" s="9">
        <f>IF(B8&gt;=3,"是","否")</f>
        <v/>
      </c>
    </row>
    <row r="9">
      <c r="A9" s="9" t="inlineStr">
        <is>
          <t>ntm_ps</t>
        </is>
      </c>
      <c r="B9" s="9">
        <f>COUNT('核心样本'!I2:I4)</f>
        <v/>
      </c>
      <c r="C9" s="10">
        <f>IFERROR(PERCENTILE('核心样本'!I2:I4,0.25),"")</f>
        <v/>
      </c>
      <c r="D9" s="10">
        <f>IFERROR(MEDIAN('核心样本'!I2:I4),"")</f>
        <v/>
      </c>
      <c r="E9" s="10">
        <f>IFERROR(PERCENTILE('核心样本'!I2:I4,0.75),"")</f>
        <v/>
      </c>
      <c r="F9" s="9">
        <f>IF(B9&gt;=3,"是","否")</f>
        <v/>
      </c>
    </row>
    <row r="10">
      <c r="A10" s="9" t="inlineStr">
        <is>
          <t>ltm_fcf_yield</t>
        </is>
      </c>
      <c r="B10" s="9">
        <f>COUNT('核心样本'!J2:J4)</f>
        <v/>
      </c>
      <c r="C10" s="11">
        <f>IFERROR(PERCENTILE('核心样本'!J2:J4,0.25),"")</f>
        <v/>
      </c>
      <c r="D10" s="11">
        <f>IFERROR(MEDIAN('核心样本'!J2:J4),"")</f>
        <v/>
      </c>
      <c r="E10" s="11">
        <f>IFERROR(PERCENTILE('核心样本'!J2:J4,0.75),"")</f>
        <v/>
      </c>
      <c r="F10" s="9">
        <f>IF(B10&gt;=3,"是","否")</f>
        <v/>
      </c>
    </row>
    <row r="11">
      <c r="A11" s="9" t="inlineStr">
        <is>
          <t>ntm_fcf_yield</t>
        </is>
      </c>
      <c r="B11" s="9">
        <f>COUNT('核心样本'!K2:K4)</f>
        <v/>
      </c>
      <c r="C11" s="11">
        <f>IFERROR(PERCENTILE('核心样本'!K2:K4,0.25),"")</f>
        <v/>
      </c>
      <c r="D11" s="11">
        <f>IFERROR(MEDIAN('核心样本'!K2:K4),"")</f>
        <v/>
      </c>
      <c r="E11" s="11">
        <f>IFERROR(PERCENTILE('核心样本'!K2:K4,0.75),"")</f>
        <v/>
      </c>
      <c r="F11" s="9">
        <f>IF(B11&gt;=3,"是","否")</f>
        <v/>
      </c>
    </row>
    <row r="12">
      <c r="A12" s="9" t="inlineStr">
        <is>
          <t>price_to_book</t>
        </is>
      </c>
      <c r="B12" s="9">
        <f>COUNT('核心样本'!L2:L4)</f>
        <v/>
      </c>
      <c r="C12" s="10">
        <f>IFERROR(PERCENTILE('核心样本'!L2:L4,0.25),"")</f>
        <v/>
      </c>
      <c r="D12" s="10">
        <f>IFERROR(MEDIAN('核心样本'!L2:L4),"")</f>
        <v/>
      </c>
      <c r="E12" s="10">
        <f>IFERROR(PERCENTILE('核心样本'!L2:L4,0.75),"")</f>
        <v/>
      </c>
      <c r="F12" s="9">
        <f>IF(B12&gt;=3,"是","否")</f>
        <v/>
      </c>
    </row>
    <row r="13">
      <c r="A13" s="9" t="inlineStr">
        <is>
          <t>ltm_roe</t>
        </is>
      </c>
      <c r="B13" s="9">
        <f>COUNT('核心样本'!M2:M4)</f>
        <v/>
      </c>
      <c r="C13" s="11">
        <f>IFERROR(PERCENTILE('核心样本'!M2:M4,0.25),"")</f>
        <v/>
      </c>
      <c r="D13" s="11">
        <f>IFERROR(MEDIAN('核心样本'!M2:M4),"")</f>
        <v/>
      </c>
      <c r="E13" s="11">
        <f>IFERROR(PERCENTILE('核心样本'!M2:M4,0.75),"")</f>
        <v/>
      </c>
      <c r="F13" s="9">
        <f>IF(B13&gt;=3,"是","否")</f>
        <v/>
      </c>
    </row>
  </sheetData>
  <autoFilter ref="A1:F13"/>
  <printOptions horizontalCentered="1"/>
  <pageMargins left="0.25" right="0.25" top="0.4" bottom="0.4" header="0.5" footer="0.5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8" customWidth="1" min="5" max="5"/>
    <col width="20" customWidth="1" min="6" max="6"/>
    <col width="20" customWidth="1" min="7" max="7"/>
    <col width="20" customWidth="1" min="8" max="8"/>
    <col width="14" customWidth="1" min="9" max="9"/>
    <col width="16" customWidth="1" min="10" max="10"/>
  </cols>
  <sheetData>
    <row r="1">
      <c r="A1" s="3" t="inlineStr">
        <is>
          <t>指标</t>
        </is>
      </c>
      <c r="B1" s="3" t="inlineStr">
        <is>
          <t>P25锚</t>
        </is>
      </c>
      <c r="C1" s="3" t="inlineStr">
        <is>
          <t>中位数锚</t>
        </is>
      </c>
      <c r="D1" s="3" t="inlineStr">
        <is>
          <t>P75锚</t>
        </is>
      </c>
      <c r="E1" s="3" t="inlineStr">
        <is>
          <t>目标基本面</t>
        </is>
      </c>
      <c r="F1" s="3" t="inlineStr">
        <is>
          <t>P25隐含每股价值</t>
        </is>
      </c>
      <c r="G1" s="3" t="inlineStr">
        <is>
          <t>中位数隐含每股价值</t>
        </is>
      </c>
      <c r="H1" s="3" t="inlineStr">
        <is>
          <t>P75隐含每股价值</t>
        </is>
      </c>
      <c r="I1" s="3" t="inlineStr">
        <is>
          <t>当前股价</t>
        </is>
      </c>
      <c r="J1" s="3" t="inlineStr">
        <is>
          <t>中位数空间</t>
        </is>
      </c>
    </row>
    <row r="2">
      <c r="A2" s="9" t="inlineStr">
        <is>
          <t>ltm_ev_revenue</t>
        </is>
      </c>
      <c r="B2" s="10">
        <f>'同行统计'!C2</f>
        <v/>
      </c>
      <c r="C2" s="10">
        <f>'同行统计'!D2</f>
        <v/>
      </c>
      <c r="D2" s="10">
        <f>'同行统计'!E2</f>
        <v/>
      </c>
      <c r="E2" s="9">
        <f>'原始数据与计算'!L2</f>
        <v/>
      </c>
      <c r="F2" s="12">
        <f>IFERROR((B2*E2-('原始数据与计算'!X2-'原始数据与计算'!W2))/'原始数据与计算'!E2,"")</f>
        <v/>
      </c>
      <c r="G2" s="12">
        <f>IFERROR((C2*E2-('原始数据与计算'!X2-'原始数据与计算'!W2))/'原始数据与计算'!E2,"")</f>
        <v/>
      </c>
      <c r="H2" s="12">
        <f>IFERROR((D2*E2-('原始数据与计算'!X2-'原始数据与计算'!W2))/'原始数据与计算'!E2,"")</f>
        <v/>
      </c>
      <c r="I2" s="12">
        <f>'原始数据与计算'!D2</f>
        <v/>
      </c>
      <c r="J2" s="11">
        <f>IFERROR(G2/I2-1,"")</f>
        <v/>
      </c>
    </row>
    <row r="3">
      <c r="A3" s="9" t="inlineStr">
        <is>
          <t>ntm_ev_revenue</t>
        </is>
      </c>
      <c r="B3" s="10">
        <f>'同行统计'!C3</f>
        <v/>
      </c>
      <c r="C3" s="10">
        <f>'同行统计'!D3</f>
        <v/>
      </c>
      <c r="D3" s="10">
        <f>'同行统计'!E3</f>
        <v/>
      </c>
      <c r="E3" s="9">
        <f>'原始数据与计算'!M2</f>
        <v/>
      </c>
      <c r="F3" s="12">
        <f>IFERROR((B3*E3-('原始数据与计算'!X2-'原始数据与计算'!W2))/'原始数据与计算'!E2,"")</f>
        <v/>
      </c>
      <c r="G3" s="12">
        <f>IFERROR((C3*E3-('原始数据与计算'!X2-'原始数据与计算'!W2))/'原始数据与计算'!E2,"")</f>
        <v/>
      </c>
      <c r="H3" s="12">
        <f>IFERROR((D3*E3-('原始数据与计算'!X2-'原始数据与计算'!W2))/'原始数据与计算'!E2,"")</f>
        <v/>
      </c>
      <c r="I3" s="12">
        <f>'原始数据与计算'!D2</f>
        <v/>
      </c>
      <c r="J3" s="11">
        <f>IFERROR(G3/I3-1,"")</f>
        <v/>
      </c>
    </row>
    <row r="4">
      <c r="A4" s="9" t="inlineStr">
        <is>
          <t>ltm_ev_ebitda</t>
        </is>
      </c>
      <c r="B4" s="10">
        <f>'同行统计'!C4</f>
        <v/>
      </c>
      <c r="C4" s="10">
        <f>'同行统计'!D4</f>
        <v/>
      </c>
      <c r="D4" s="10">
        <f>'同行统计'!E4</f>
        <v/>
      </c>
      <c r="E4" s="9">
        <f>'原始数据与计算'!N2</f>
        <v/>
      </c>
      <c r="F4" s="12">
        <f>IFERROR((B4*E4-('原始数据与计算'!X2-'原始数据与计算'!W2))/'原始数据与计算'!E2,"")</f>
        <v/>
      </c>
      <c r="G4" s="12">
        <f>IFERROR((C4*E4-('原始数据与计算'!X2-'原始数据与计算'!W2))/'原始数据与计算'!E2,"")</f>
        <v/>
      </c>
      <c r="H4" s="12">
        <f>IFERROR((D4*E4-('原始数据与计算'!X2-'原始数据与计算'!W2))/'原始数据与计算'!E2,"")</f>
        <v/>
      </c>
      <c r="I4" s="12">
        <f>'原始数据与计算'!D2</f>
        <v/>
      </c>
      <c r="J4" s="11">
        <f>IFERROR(G4/I4-1,"")</f>
        <v/>
      </c>
    </row>
    <row r="5">
      <c r="A5" s="9" t="inlineStr">
        <is>
          <t>ntm_ev_ebitda</t>
        </is>
      </c>
      <c r="B5" s="10">
        <f>'同行统计'!C5</f>
        <v/>
      </c>
      <c r="C5" s="10">
        <f>'同行统计'!D5</f>
        <v/>
      </c>
      <c r="D5" s="10">
        <f>'同行统计'!E5</f>
        <v/>
      </c>
      <c r="E5" s="9">
        <f>'原始数据与计算'!O2</f>
        <v/>
      </c>
      <c r="F5" s="12">
        <f>IFERROR((B5*E5-('原始数据与计算'!X2-'原始数据与计算'!W2))/'原始数据与计算'!E2,"")</f>
        <v/>
      </c>
      <c r="G5" s="12">
        <f>IFERROR((C5*E5-('原始数据与计算'!X2-'原始数据与计算'!W2))/'原始数据与计算'!E2,"")</f>
        <v/>
      </c>
      <c r="H5" s="12">
        <f>IFERROR((D5*E5-('原始数据与计算'!X2-'原始数据与计算'!W2))/'原始数据与计算'!E2,"")</f>
        <v/>
      </c>
      <c r="I5" s="12">
        <f>'原始数据与计算'!D2</f>
        <v/>
      </c>
      <c r="J5" s="11">
        <f>IFERROR(G5/I5-1,"")</f>
        <v/>
      </c>
    </row>
    <row r="6">
      <c r="A6" s="9" t="inlineStr">
        <is>
          <t>ltm_pe</t>
        </is>
      </c>
      <c r="B6" s="10">
        <f>'同行统计'!C6</f>
        <v/>
      </c>
      <c r="C6" s="10">
        <f>'同行统计'!D6</f>
        <v/>
      </c>
      <c r="D6" s="10">
        <f>'同行统计'!E6</f>
        <v/>
      </c>
      <c r="E6" s="9">
        <f>'原始数据与计算'!P2</f>
        <v/>
      </c>
      <c r="F6" s="12">
        <f>IFERROR(B6*E6/'原始数据与计算'!E2,"")</f>
        <v/>
      </c>
      <c r="G6" s="12">
        <f>IFERROR(C6*E6/'原始数据与计算'!E2,"")</f>
        <v/>
      </c>
      <c r="H6" s="12">
        <f>IFERROR(D6*E6/'原始数据与计算'!E2,"")</f>
        <v/>
      </c>
      <c r="I6" s="12">
        <f>'原始数据与计算'!D2</f>
        <v/>
      </c>
      <c r="J6" s="11">
        <f>IFERROR(G6/I6-1,"")</f>
        <v/>
      </c>
    </row>
    <row r="7">
      <c r="A7" s="9" t="inlineStr">
        <is>
          <t>ntm_pe</t>
        </is>
      </c>
      <c r="B7" s="10">
        <f>'同行统计'!C7</f>
        <v/>
      </c>
      <c r="C7" s="10">
        <f>'同行统计'!D7</f>
        <v/>
      </c>
      <c r="D7" s="10">
        <f>'同行统计'!E7</f>
        <v/>
      </c>
      <c r="E7" s="9">
        <f>'原始数据与计算'!Q2</f>
        <v/>
      </c>
      <c r="F7" s="12">
        <f>IFERROR(B7*E7/'原始数据与计算'!E2,"")</f>
        <v/>
      </c>
      <c r="G7" s="12">
        <f>IFERROR(C7*E7/'原始数据与计算'!E2,"")</f>
        <v/>
      </c>
      <c r="H7" s="12">
        <f>IFERROR(D7*E7/'原始数据与计算'!E2,"")</f>
        <v/>
      </c>
      <c r="I7" s="12">
        <f>'原始数据与计算'!D2</f>
        <v/>
      </c>
      <c r="J7" s="11">
        <f>IFERROR(G7/I7-1,"")</f>
        <v/>
      </c>
    </row>
    <row r="8">
      <c r="A8" s="9" t="inlineStr">
        <is>
          <t>ltm_ps</t>
        </is>
      </c>
      <c r="B8" s="10">
        <f>'同行统计'!C8</f>
        <v/>
      </c>
      <c r="C8" s="10">
        <f>'同行统计'!D8</f>
        <v/>
      </c>
      <c r="D8" s="10">
        <f>'同行统计'!E8</f>
        <v/>
      </c>
      <c r="E8" s="9">
        <f>'原始数据与计算'!L2</f>
        <v/>
      </c>
      <c r="F8" s="12">
        <f>IFERROR(B8*E8/'原始数据与计算'!E2,"")</f>
        <v/>
      </c>
      <c r="G8" s="12">
        <f>IFERROR(C8*E8/'原始数据与计算'!E2,"")</f>
        <v/>
      </c>
      <c r="H8" s="12">
        <f>IFERROR(D8*E8/'原始数据与计算'!E2,"")</f>
        <v/>
      </c>
      <c r="I8" s="12">
        <f>'原始数据与计算'!D2</f>
        <v/>
      </c>
      <c r="J8" s="11">
        <f>IFERROR(G8/I8-1,"")</f>
        <v/>
      </c>
    </row>
    <row r="9">
      <c r="A9" s="9" t="inlineStr">
        <is>
          <t>ntm_ps</t>
        </is>
      </c>
      <c r="B9" s="10">
        <f>'同行统计'!C9</f>
        <v/>
      </c>
      <c r="C9" s="10">
        <f>'同行统计'!D9</f>
        <v/>
      </c>
      <c r="D9" s="10">
        <f>'同行统计'!E9</f>
        <v/>
      </c>
      <c r="E9" s="9">
        <f>'原始数据与计算'!M2</f>
        <v/>
      </c>
      <c r="F9" s="12">
        <f>IFERROR(B9*E9/'原始数据与计算'!E2,"")</f>
        <v/>
      </c>
      <c r="G9" s="12">
        <f>IFERROR(C9*E9/'原始数据与计算'!E2,"")</f>
        <v/>
      </c>
      <c r="H9" s="12">
        <f>IFERROR(D9*E9/'原始数据与计算'!E2,"")</f>
        <v/>
      </c>
      <c r="I9" s="12">
        <f>'原始数据与计算'!D2</f>
        <v/>
      </c>
      <c r="J9" s="11">
        <f>IFERROR(G9/I9-1,"")</f>
        <v/>
      </c>
    </row>
    <row r="10">
      <c r="A10" s="9" t="inlineStr">
        <is>
          <t>ltm_fcf_yield</t>
        </is>
      </c>
      <c r="B10" s="11">
        <f>'同行统计'!C10</f>
        <v/>
      </c>
      <c r="C10" s="11">
        <f>'同行统计'!D10</f>
        <v/>
      </c>
      <c r="D10" s="11">
        <f>'同行统计'!E10</f>
        <v/>
      </c>
      <c r="E10" s="9">
        <f>'原始数据与计算'!R2</f>
        <v/>
      </c>
      <c r="F10" s="12">
        <f>IFERROR(E10/B10/'原始数据与计算'!E2,"")</f>
        <v/>
      </c>
      <c r="G10" s="12">
        <f>IFERROR(E10/C10/'原始数据与计算'!E2,"")</f>
        <v/>
      </c>
      <c r="H10" s="12">
        <f>IFERROR(E10/D10/'原始数据与计算'!E2,"")</f>
        <v/>
      </c>
      <c r="I10" s="12">
        <f>'原始数据与计算'!D2</f>
        <v/>
      </c>
      <c r="J10" s="11">
        <f>IFERROR(G10/I10-1,"")</f>
        <v/>
      </c>
    </row>
    <row r="11">
      <c r="A11" s="9" t="inlineStr">
        <is>
          <t>ntm_fcf_yield</t>
        </is>
      </c>
      <c r="B11" s="11">
        <f>'同行统计'!C11</f>
        <v/>
      </c>
      <c r="C11" s="11">
        <f>'同行统计'!D11</f>
        <v/>
      </c>
      <c r="D11" s="11">
        <f>'同行统计'!E11</f>
        <v/>
      </c>
      <c r="E11" s="9">
        <f>'原始数据与计算'!S2</f>
        <v/>
      </c>
      <c r="F11" s="12">
        <f>IFERROR(E11/B11/'原始数据与计算'!E2,"")</f>
        <v/>
      </c>
      <c r="G11" s="12">
        <f>IFERROR(E11/C11/'原始数据与计算'!E2,"")</f>
        <v/>
      </c>
      <c r="H11" s="12">
        <f>IFERROR(E11/D11/'原始数据与计算'!E2,"")</f>
        <v/>
      </c>
      <c r="I11" s="12">
        <f>'原始数据与计算'!D2</f>
        <v/>
      </c>
      <c r="J11" s="11">
        <f>IFERROR(G11/I11-1,"")</f>
        <v/>
      </c>
    </row>
    <row r="12">
      <c r="A12" s="9" t="inlineStr">
        <is>
          <t>price_to_book</t>
        </is>
      </c>
      <c r="B12" s="10">
        <f>'同行统计'!C12</f>
        <v/>
      </c>
      <c r="C12" s="10">
        <f>'同行统计'!D12</f>
        <v/>
      </c>
      <c r="D12" s="10">
        <f>'同行统计'!E12</f>
        <v/>
      </c>
      <c r="E12" s="9">
        <f>'原始数据与计算'!D2/'原始数据与计算'!AI2</f>
        <v/>
      </c>
      <c r="F12" s="12">
        <f>IFERROR(B12*E12,"")</f>
        <v/>
      </c>
      <c r="G12" s="12">
        <f>IFERROR(C12*E12,"")</f>
        <v/>
      </c>
      <c r="H12" s="12">
        <f>IFERROR(D12*E12,"")</f>
        <v/>
      </c>
      <c r="I12" s="12">
        <f>'原始数据与计算'!D2</f>
        <v/>
      </c>
      <c r="J12" s="11">
        <f>IFERROR(G12/I12-1,"")</f>
        <v/>
      </c>
    </row>
  </sheetData>
  <autoFilter ref="A1:J12"/>
  <printOptions horizontalCentered="1"/>
  <pageMargins left="0.25" right="0.25" top="0.4" bottom="0.4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基本面因子/估值锚因子</t>
        </is>
      </c>
      <c r="B1" s="3" t="n">
        <v>0.8</v>
      </c>
      <c r="C1" s="3" t="n">
        <v>0.9</v>
      </c>
      <c r="D1" s="3" t="n">
        <v>1</v>
      </c>
      <c r="E1" s="3" t="n">
        <v>1.1</v>
      </c>
      <c r="F1" s="3" t="n">
        <v>1.2</v>
      </c>
    </row>
    <row r="2">
      <c r="A2" s="13" t="n">
        <v>0.8</v>
      </c>
      <c r="B2" s="12">
        <f>IFERROR('隐含估值'!C12*B1*'隐含估值'!E12*$A2,"")</f>
        <v/>
      </c>
      <c r="C2" s="12">
        <f>IFERROR('隐含估值'!C12*C1*'隐含估值'!E12*$A2,"")</f>
        <v/>
      </c>
      <c r="D2" s="12">
        <f>IFERROR('隐含估值'!C12*D1*'隐含估值'!E12*$A2,"")</f>
        <v/>
      </c>
      <c r="E2" s="12">
        <f>IFERROR('隐含估值'!C12*E1*'隐含估值'!E12*$A2,"")</f>
        <v/>
      </c>
      <c r="F2" s="12">
        <f>IFERROR('隐含估值'!C12*F1*'隐含估值'!E12*$A2,"")</f>
        <v/>
      </c>
    </row>
    <row r="3">
      <c r="A3" s="13" t="n">
        <v>0.9</v>
      </c>
      <c r="B3" s="12">
        <f>IFERROR('隐含估值'!C12*B1*'隐含估值'!E12*$A3,"")</f>
        <v/>
      </c>
      <c r="C3" s="12">
        <f>IFERROR('隐含估值'!C12*C1*'隐含估值'!E12*$A3,"")</f>
        <v/>
      </c>
      <c r="D3" s="12">
        <f>IFERROR('隐含估值'!C12*D1*'隐含估值'!E12*$A3,"")</f>
        <v/>
      </c>
      <c r="E3" s="12">
        <f>IFERROR('隐含估值'!C12*E1*'隐含估值'!E12*$A3,"")</f>
        <v/>
      </c>
      <c r="F3" s="12">
        <f>IFERROR('隐含估值'!C12*F1*'隐含估值'!E12*$A3,"")</f>
        <v/>
      </c>
    </row>
    <row r="4">
      <c r="A4" s="13" t="n">
        <v>1</v>
      </c>
      <c r="B4" s="12">
        <f>IFERROR('隐含估值'!C12*B1*'隐含估值'!E12*$A4,"")</f>
        <v/>
      </c>
      <c r="C4" s="12">
        <f>IFERROR('隐含估值'!C12*C1*'隐含估值'!E12*$A4,"")</f>
        <v/>
      </c>
      <c r="D4" s="12">
        <f>IFERROR('隐含估值'!C12*D1*'隐含估值'!E12*$A4,"")</f>
        <v/>
      </c>
      <c r="E4" s="12">
        <f>IFERROR('隐含估值'!C12*E1*'隐含估值'!E12*$A4,"")</f>
        <v/>
      </c>
      <c r="F4" s="12">
        <f>IFERROR('隐含估值'!C12*F1*'隐含估值'!E12*$A4,"")</f>
        <v/>
      </c>
    </row>
    <row r="5">
      <c r="A5" s="13" t="n">
        <v>1.1</v>
      </c>
      <c r="B5" s="12">
        <f>IFERROR('隐含估值'!C12*B1*'隐含估值'!E12*$A5,"")</f>
        <v/>
      </c>
      <c r="C5" s="12">
        <f>IFERROR('隐含估值'!C12*C1*'隐含估值'!E12*$A5,"")</f>
        <v/>
      </c>
      <c r="D5" s="12">
        <f>IFERROR('隐含估值'!C12*D1*'隐含估值'!E12*$A5,"")</f>
        <v/>
      </c>
      <c r="E5" s="12">
        <f>IFERROR('隐含估值'!C12*E1*'隐含估值'!E12*$A5,"")</f>
        <v/>
      </c>
      <c r="F5" s="12">
        <f>IFERROR('隐含估值'!C12*F1*'隐含估值'!E12*$A5,"")</f>
        <v/>
      </c>
    </row>
    <row r="6">
      <c r="A6" s="13" t="n">
        <v>1.2</v>
      </c>
      <c r="B6" s="12">
        <f>IFERROR('隐含估值'!C12*B1*'隐含估值'!E12*$A6,"")</f>
        <v/>
      </c>
      <c r="C6" s="12">
        <f>IFERROR('隐含估值'!C12*C1*'隐含估值'!E12*$A6,"")</f>
        <v/>
      </c>
      <c r="D6" s="12">
        <f>IFERROR('隐含估值'!C12*D1*'隐含估值'!E12*$A6,"")</f>
        <v/>
      </c>
      <c r="E6" s="12">
        <f>IFERROR('隐含估值'!C12*E1*'隐含估值'!E12*$A6,"")</f>
        <v/>
      </c>
      <c r="F6" s="12">
        <f>IFERROR('隐含估值'!C12*F1*'隐含估值'!E12*$A6,"")</f>
        <v/>
      </c>
    </row>
    <row r="7">
      <c r="A7" s="9" t="n"/>
      <c r="B7" s="9" t="n"/>
      <c r="C7" s="9" t="n"/>
      <c r="D7" s="9" t="n"/>
      <c r="E7" s="9" t="n"/>
      <c r="F7" s="9" t="n"/>
    </row>
    <row r="8">
      <c r="A8" s="9" t="inlineStr">
        <is>
          <t>说明</t>
        </is>
      </c>
      <c r="B8" s="9" t="inlineStr">
        <is>
          <t>每个格子均重新应用目标基本面与估值锚，不是对最终价格的静态粘贴。</t>
        </is>
      </c>
      <c r="C8" s="9" t="n"/>
      <c r="D8" s="9" t="n"/>
      <c r="E8" s="9" t="n"/>
      <c r="F8" s="9" t="n"/>
    </row>
  </sheetData>
  <autoFilter ref="A1:F8"/>
  <printOptions horizontalCentered="1"/>
  <pageMargins left="0.25" right="0.25" top="0.4" bottom="0.4" header="0.5" footer="0.5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52" customWidth="1" min="3" max="3"/>
  </cols>
  <sheetData>
    <row r="1">
      <c r="A1" s="3" t="inlineStr">
        <is>
          <t>项目</t>
        </is>
      </c>
      <c r="B1" s="3" t="inlineStr">
        <is>
          <t>数值</t>
        </is>
      </c>
      <c r="C1" s="3" t="inlineStr">
        <is>
          <t>公式含义</t>
        </is>
      </c>
    </row>
    <row r="2">
      <c r="A2" s="9" t="inlineStr">
        <is>
          <t>当前主指标</t>
        </is>
      </c>
      <c r="B2" s="9">
        <f>'原始数据与计算'!AI2</f>
        <v/>
      </c>
      <c r="C2" s="9" t="inlineStr">
        <is>
          <t>目标公司当前市场倍数或收益率</t>
        </is>
      </c>
    </row>
    <row r="3">
      <c r="A3" s="9" t="inlineStr">
        <is>
          <t>核心同行中位数</t>
        </is>
      </c>
      <c r="B3" s="9">
        <f>'同行统计'!D12</f>
        <v/>
      </c>
      <c r="C3" s="9" t="inlineStr">
        <is>
          <t>核心样本中位数</t>
        </is>
      </c>
    </row>
    <row r="4">
      <c r="A4" s="9" t="inlineStr">
        <is>
          <t>当前相对中位数溢折价</t>
        </is>
      </c>
      <c r="B4" s="9">
        <f>IFERROR(B2/B3-1,"")</f>
        <v/>
      </c>
      <c r="C4" s="9" t="inlineStr">
        <is>
          <t>正数为溢价，负数为折价；收益率指标需反向解释</t>
        </is>
      </c>
    </row>
  </sheetData>
  <autoFilter ref="A1:C4"/>
  <printOptions horizontalCentered="1"/>
  <pageMargins left="0.25" right="0.25" top="0.4" bottom="0.4" header="0.5" footer="0.5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72" customWidth="1" min="3" max="3"/>
    <col width="28" customWidth="1" min="4" max="4"/>
  </cols>
  <sheetData>
    <row r="1">
      <c r="A1" s="3" t="inlineStr">
        <is>
          <t>假设编号</t>
        </is>
      </c>
      <c r="B1" s="3" t="inlineStr">
        <is>
          <t>主题</t>
        </is>
      </c>
      <c r="C1" s="3" t="inlineStr">
        <is>
          <t>内容</t>
        </is>
      </c>
      <c r="D1" s="3" t="inlineStr">
        <is>
          <t>模型使用位置</t>
        </is>
      </c>
    </row>
    <row r="2">
      <c r="A2" s="4" t="inlineStr">
        <is>
          <t>ASM-COMP-001</t>
        </is>
      </c>
      <c r="B2" s="4" t="inlineStr">
        <is>
          <t>主估值指标</t>
        </is>
      </c>
      <c r="C2" s="7" t="inlineStr">
        <is>
          <t>市净率（P/B）</t>
        </is>
      </c>
      <c r="D2" s="4" t="inlineStr">
        <is>
          <t>隐含估值、情景与敏感性</t>
        </is>
      </c>
    </row>
    <row r="3">
      <c r="A3" s="4" t="inlineStr">
        <is>
          <t>ASM-COMP-002</t>
        </is>
      </c>
      <c r="B3" s="4" t="inlineStr">
        <is>
          <t>次要指标</t>
        </is>
      </c>
      <c r="C3" s="7" t="inlineStr">
        <is>
          <t>ltm_pe</t>
        </is>
      </c>
      <c r="D3" s="4" t="inlineStr">
        <is>
          <t>交叉检查</t>
        </is>
      </c>
    </row>
    <row r="4">
      <c r="A4" s="4" t="inlineStr">
        <is>
          <t>ASM-COMP-003</t>
        </is>
      </c>
      <c r="B4" s="4" t="inlineStr">
        <is>
          <t>弃用指标</t>
        </is>
      </c>
      <c r="C4" s="7" t="inlineStr">
        <is>
          <t>ltm_ev_ebitda</t>
        </is>
      </c>
      <c r="D4" s="4" t="inlineStr">
        <is>
          <t>方法限制</t>
        </is>
      </c>
    </row>
    <row r="5">
      <c r="A5" s="4" t="inlineStr">
        <is>
          <t>ASM-COMP-004</t>
        </is>
      </c>
      <c r="B5" s="4" t="inlineStr">
        <is>
          <t>溢折价原则</t>
        </is>
      </c>
      <c r="C5" s="7" t="inlineStr">
        <is>
          <t>未给予无依据溢价</t>
        </is>
      </c>
      <c r="D5" s="4" t="inlineStr">
        <is>
          <t>结论摘要</t>
        </is>
      </c>
    </row>
  </sheetData>
  <autoFilter ref="A1:D5"/>
  <printOptions horizontalCentered="1"/>
  <pageMargins left="0.25" right="0.25" top="0.4" bottom="0.4" header="0.5" footer="0.5"/>
  <pageSetup orientation="portrait" paperSize="9" fitToHeight="1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0" customWidth="1" min="3" max="3"/>
    <col width="36" customWidth="1" min="4" max="4"/>
  </cols>
  <sheetData>
    <row r="1">
      <c r="A1" s="3" t="inlineStr">
        <is>
          <t>类型</t>
        </is>
      </c>
      <c r="B1" s="3" t="inlineStr">
        <is>
          <t>编号</t>
        </is>
      </c>
      <c r="C1" s="3" t="inlineStr">
        <is>
          <t>内容</t>
        </is>
      </c>
      <c r="D1" s="3" t="inlineStr">
        <is>
          <t>处理要求</t>
        </is>
      </c>
    </row>
    <row r="2">
      <c r="A2" s="4" t="inlineStr">
        <is>
          <t>失效条件</t>
        </is>
      </c>
      <c r="B2" s="4" t="inlineStr">
        <is>
          <t>INV-001</t>
        </is>
      </c>
      <c r="C2" s="7" t="inlineStr">
        <is>
          <t>资产质量恶化</t>
        </is>
      </c>
      <c r="D2" s="4" t="inlineStr">
        <is>
          <t>到达观察时点后更新模型并重新发布</t>
        </is>
      </c>
    </row>
    <row r="3">
      <c r="A3" s="4" t="inlineStr">
        <is>
          <t>失效条件</t>
        </is>
      </c>
      <c r="B3" s="4" t="inlineStr">
        <is>
          <t>INV-002</t>
        </is>
      </c>
      <c r="C3" s="7" t="inlineStr">
        <is>
          <t>ROE下降</t>
        </is>
      </c>
      <c r="D3" s="4" t="inlineStr">
        <is>
          <t>到达观察时点后更新模型并重新发布</t>
        </is>
      </c>
    </row>
    <row r="4">
      <c r="A4" s="4" t="inlineStr">
        <is>
          <t>失效条件</t>
        </is>
      </c>
      <c r="B4" s="4" t="inlineStr">
        <is>
          <t>INV-003</t>
        </is>
      </c>
      <c r="C4" s="7" t="inlineStr">
        <is>
          <t>资本补充超预期</t>
        </is>
      </c>
      <c r="D4" s="4" t="inlineStr">
        <is>
          <t>到达观察时点后更新模型并重新发布</t>
        </is>
      </c>
    </row>
    <row r="5">
      <c r="A5" s="4" t="inlineStr">
        <is>
          <t>警告</t>
        </is>
      </c>
      <c r="B5" s="4" t="inlineStr">
        <is>
          <t>WRN-001</t>
        </is>
      </c>
      <c r="C5" s="7" t="inlineStr">
        <is>
          <t>市净率—净资产收益率（P/B–ROE）交叉检查仅有 3 个有效核心可比公司观测值，未运行回归</t>
        </is>
      </c>
      <c r="D5" s="4" t="inlineStr">
        <is>
          <t>评估影响并在摘要中披露</t>
        </is>
      </c>
    </row>
  </sheetData>
  <autoFilter ref="A1:D5"/>
  <printOptions horizontalCentered="1"/>
  <pageMargins left="0.25" right="0.25" top="0.4" bottom="0.4" header="0.5" footer="0.5"/>
  <pageSetup orientation="portrait" paperSize="9" fitToHeight="1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6" customWidth="1" min="3" max="3"/>
    <col width="68" customWidth="1" min="4" max="4"/>
    <col width="38" customWidth="1" min="5" max="5"/>
  </cols>
  <sheetData>
    <row r="1">
      <c r="A1" s="3" t="inlineStr">
        <is>
          <t>来源ID</t>
        </is>
      </c>
      <c r="B1" s="3" t="inlineStr">
        <is>
          <t>标题</t>
        </is>
      </c>
      <c r="C1" s="3" t="inlineStr">
        <is>
          <t>发布日期</t>
        </is>
      </c>
      <c r="D1" s="3" t="inlineStr">
        <is>
          <t>URL/定位</t>
        </is>
      </c>
      <c r="E1" s="3" t="inlineStr">
        <is>
          <t>备注</t>
        </is>
      </c>
    </row>
    <row r="2">
      <c r="A2" s="7" t="inlineStr">
        <is>
          <t>SRC-DEMO</t>
        </is>
      </c>
      <c r="B2" s="7" t="inlineStr">
        <is>
          <t>结构测试数据，不代表真实公司</t>
        </is>
      </c>
      <c r="C2" s="7" t="inlineStr">
        <is>
          <t>2026-06-30</t>
        </is>
      </c>
      <c r="D2" s="7" t="n"/>
      <c r="E2" s="7" t="n"/>
    </row>
  </sheetData>
  <autoFilter ref="A1:E2"/>
  <printOptions horizontalCentered="1"/>
  <pageMargins left="0.25" right="0.25" top="0.4" bottom="0.4" header="0.5" footer="0.5"/>
  <pageSetup orientation="portrait" paperSize="9" fitToHeight="1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0" customWidth="1" min="2" max="2"/>
    <col width="34" customWidth="1" min="3" max="3"/>
  </cols>
  <sheetData>
    <row r="1">
      <c r="A1" s="3" t="inlineStr">
        <is>
          <t>主题</t>
        </is>
      </c>
      <c r="B1" s="3" t="inlineStr">
        <is>
          <t>分析结论</t>
        </is>
      </c>
      <c r="C1" s="3" t="inlineStr">
        <is>
          <t>数值来源</t>
        </is>
      </c>
    </row>
    <row r="2">
      <c r="A2" s="4" t="inlineStr">
        <is>
          <t>总体结论</t>
        </is>
      </c>
      <c r="B2" s="7" t="inlineStr">
        <is>
          <t>结构测试示例，不形成真实估值结论</t>
        </is>
      </c>
      <c r="C2" s="4" t="inlineStr">
        <is>
          <t>结论摘要及隐含估值</t>
        </is>
      </c>
    </row>
    <row r="3">
      <c r="A3" s="4" t="inlineStr">
        <is>
          <t>同行比较</t>
        </is>
      </c>
      <c r="B3" s="7" t="inlineStr">
        <is>
          <t>增长、盈利、现金转化和风险逐项比较完成</t>
        </is>
      </c>
      <c r="C3" s="4" t="inlineStr">
        <is>
          <t>同行筛选、交易倍数</t>
        </is>
      </c>
    </row>
    <row r="4">
      <c r="A4" s="4" t="inlineStr">
        <is>
          <t>溢折价逻辑</t>
        </is>
      </c>
      <c r="B4" s="7" t="inlineStr">
        <is>
          <t>未给予无依据溢价</t>
        </is>
      </c>
      <c r="C4" s="4" t="inlineStr">
        <is>
          <t>假设与方法、市场隐含预期</t>
        </is>
      </c>
    </row>
  </sheetData>
  <autoFilter ref="A1:C4"/>
  <printOptions horizontalCentered="1"/>
  <pageMargins left="0.25" right="0.25" top="0.4" bottom="0.4" header="0.5" footer="0.5"/>
  <pageSetup orientation="portrait" paperSize="9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6" customWidth="1" min="4" max="4"/>
    <col width="12" customWidth="1" min="5" max="5"/>
    <col width="14" customWidth="1" min="6" max="6"/>
    <col width="48" customWidth="1" min="7" max="7"/>
  </cols>
  <sheetData>
    <row r="1">
      <c r="A1" s="3" t="inlineStr">
        <is>
          <t>检查项</t>
        </is>
      </c>
      <c r="B1" s="3" t="inlineStr">
        <is>
          <t>实际值</t>
        </is>
      </c>
      <c r="C1" s="3" t="inlineStr">
        <is>
          <t>期望值</t>
        </is>
      </c>
      <c r="D1" s="3" t="inlineStr">
        <is>
          <t>差异</t>
        </is>
      </c>
      <c r="E1" s="3" t="inlineStr">
        <is>
          <t>容差</t>
        </is>
      </c>
      <c r="F1" s="3" t="inlineStr">
        <is>
          <t>状态</t>
        </is>
      </c>
      <c r="G1" s="3" t="inlineStr">
        <is>
          <t>修复提示</t>
        </is>
      </c>
    </row>
    <row r="2">
      <c r="A2" s="9" t="inlineStr">
        <is>
          <t>目标公司唯一</t>
        </is>
      </c>
      <c r="B2" s="9">
        <f>COUNTIF('原始数据与计算'!C2:C5,"Target")</f>
        <v/>
      </c>
      <c r="C2" s="9" t="n">
        <v>1</v>
      </c>
      <c r="D2" s="9">
        <f>B2-C2</f>
        <v/>
      </c>
      <c r="E2" s="9" t="n">
        <v>0</v>
      </c>
      <c r="F2" s="9">
        <f>IF(ABS(D2)&lt;=E2,"PASS","FAIL")</f>
        <v/>
      </c>
      <c r="G2" s="9" t="inlineStr">
        <is>
          <t>目标公司分类必须且只能出现一次</t>
        </is>
      </c>
    </row>
    <row r="3">
      <c r="A3" s="9" t="inlineStr">
        <is>
          <t>主指标有效核心样本</t>
        </is>
      </c>
      <c r="B3" s="9">
        <f>'同行统计'!B12</f>
        <v/>
      </c>
      <c r="C3" s="9" t="n">
        <v>3</v>
      </c>
      <c r="D3" s="9">
        <f>B3-C3</f>
        <v/>
      </c>
      <c r="E3" s="9" t="n">
        <v>0</v>
      </c>
      <c r="F3" s="9">
        <f>IF(B3&gt;=C3,"PASS","FAIL")</f>
        <v/>
      </c>
      <c r="G3" s="9" t="inlineStr">
        <is>
          <t>至少需要三家有效核心可比公司</t>
        </is>
      </c>
    </row>
    <row r="4">
      <c r="A4" s="9" t="inlineStr">
        <is>
          <t>目标市值重算</t>
        </is>
      </c>
      <c r="B4" s="9">
        <f>'原始数据与计算'!W2</f>
        <v/>
      </c>
      <c r="C4" s="9">
        <f>'原始数据与计算'!D2*'原始数据与计算'!E2</f>
        <v/>
      </c>
      <c r="D4" s="9">
        <f>B4-C4</f>
        <v/>
      </c>
      <c r="E4" s="9" t="n">
        <v>1e-06</v>
      </c>
      <c r="F4" s="9">
        <f>IF(ABS(D4)&lt;=E4,"PASS","FAIL")</f>
        <v/>
      </c>
      <c r="G4" s="9" t="inlineStr">
        <is>
          <t>检查股价与完全稀释股数</t>
        </is>
      </c>
    </row>
    <row r="5">
      <c r="A5" s="9" t="inlineStr">
        <is>
          <t>目标EV重算</t>
        </is>
      </c>
      <c r="B5" s="9">
        <f>'原始数据与计算'!X2</f>
        <v/>
      </c>
      <c r="C5" s="9">
        <f>'原始数据与计算'!W2+'原始数据与计算'!F2-'原始数据与计算'!G2+'原始数据与计算'!H2+'原始数据与计算'!I2+'原始数据与计算'!J2-'原始数据与计算'!K2</f>
        <v/>
      </c>
      <c r="D5" s="9">
        <f>B5-C5</f>
        <v/>
      </c>
      <c r="E5" s="9" t="n">
        <v>1e-06</v>
      </c>
      <c r="F5" s="9">
        <f>IF(ABS(D5)&lt;=E5,"PASS","FAIL")</f>
        <v/>
      </c>
      <c r="G5" s="9" t="inlineStr">
        <is>
          <t>检查债务、现金、租赁及非经营投资口径</t>
        </is>
      </c>
    </row>
    <row r="6">
      <c r="A6" s="9" t="inlineStr">
        <is>
          <t>敏感性公式数量</t>
        </is>
      </c>
      <c r="B6" s="9">
        <f>COUNT('情景与敏感性'!B2:F6)</f>
        <v/>
      </c>
      <c r="C6" s="9" t="n">
        <v>25</v>
      </c>
      <c r="D6" s="9">
        <f>B6-C6</f>
        <v/>
      </c>
      <c r="E6" s="9" t="n">
        <v>0</v>
      </c>
      <c r="F6" s="9">
        <f>IF(ABS(D6)&lt;=E6,"PASS","FAIL")</f>
        <v/>
      </c>
      <c r="G6" s="9" t="inlineStr">
        <is>
          <t>25个敏感性格均须为公式</t>
        </is>
      </c>
    </row>
    <row r="7">
      <c r="A7" s="9" t="inlineStr">
        <is>
          <t>模型总体状态</t>
        </is>
      </c>
      <c r="B7" s="9">
        <f>COUNTIF(F2:F6,"FAIL")</f>
        <v/>
      </c>
      <c r="C7" s="9" t="n">
        <v>0</v>
      </c>
      <c r="D7" s="9">
        <f>B7-C7</f>
        <v/>
      </c>
      <c r="E7" s="9" t="n">
        <v>0</v>
      </c>
      <c r="F7" s="9">
        <f>IF(B7=0,"PASS","FAIL")</f>
        <v/>
      </c>
      <c r="G7" s="9" t="inlineStr">
        <is>
          <t>任一检查失败即阻断结论</t>
        </is>
      </c>
    </row>
  </sheetData>
  <autoFilter ref="A1:G7"/>
  <printOptions horizontalCentered="1"/>
  <pageMargins left="0.25" right="0.25" top="0.4" bottom="0.4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2026-07-29T03:23:52Z</dcterms:created>
  <dcterms:modified xmlns:dcterms="http://purl.org/dc/terms/" xmlns:xsi="http://www.w3.org/2001/XMLSchema-instance" xsi:type="dcterms:W3CDTF">2026-07-29T03:23:52Z</dcterms:modified>
</cp:coreProperties>
</file>