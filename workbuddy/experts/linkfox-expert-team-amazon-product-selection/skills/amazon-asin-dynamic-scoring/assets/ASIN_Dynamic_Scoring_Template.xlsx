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0_客户期望配置" sheetId="2" state="visible" r:id="rId2"/>
    <sheet xmlns:r="http://schemas.openxmlformats.org/officeDocument/2006/relationships" name="01_动态参数" sheetId="3" state="visible" r:id="rId3"/>
    <sheet xmlns:r="http://schemas.openxmlformats.org/officeDocument/2006/relationships" name="02_ASIN原始数据" sheetId="4" state="visible" r:id="rId4"/>
    <sheet xmlns:r="http://schemas.openxmlformats.org/officeDocument/2006/relationships" name="03_衍生指标" sheetId="5" state="visible" r:id="rId5"/>
    <sheet xmlns:r="http://schemas.openxmlformats.org/officeDocument/2006/relationships" name="04_最终评分" sheetId="6" state="visible" r:id="rId6"/>
    <sheet xmlns:r="http://schemas.openxmlformats.org/officeDocument/2006/relationships" name="05_推荐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C0000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000000"/>
      <sz val="10"/>
    </font>
    <font>
      <name val="Arial"/>
      <color rgb="00C00000"/>
      <sz val="9"/>
    </font>
    <font>
      <name val="Arial"/>
      <b val="1"/>
      <sz val="11"/>
    </font>
    <font>
      <name val="Arial"/>
      <b val="1"/>
      <sz val="10"/>
    </font>
    <font>
      <name val="Arial"/>
      <color rgb="00008000"/>
      <sz val="10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color rgb="00C00000"/>
      <sz val="11"/>
    </font>
    <font>
      <name val="Arial"/>
      <b val="1"/>
      <color rgb="001F4E79"/>
      <sz val="16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10" fontId="11" fillId="0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2" fontId="7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14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卖家精灵选产品 → 客户期望驱动的 ASIN 动态评分表</t>
        </is>
      </c>
    </row>
    <row r="3">
      <c r="A3" s="2" t="inlineStr">
        <is>
          <t>一、核心原则</t>
        </is>
      </c>
    </row>
    <row r="4">
      <c r="A4" t="inlineStr">
        <is>
          <t>1. 必须先完成「00_客户期望配置」并确认，评分才生效。</t>
        </is>
      </c>
    </row>
    <row r="5">
      <c r="A5" t="inlineStr">
        <is>
          <t>2. 数据源严格限制为卖家精灵「选产品」真实返回字段，禁止虚构任何指标。</t>
        </is>
      </c>
    </row>
    <row r="6">
      <c r="A6" t="inlineStr">
        <is>
          <t>3. 所有权重、阈值、否决线均由客户期望动态驱动，修改后自动重算。</t>
        </is>
      </c>
    </row>
    <row r="8">
      <c r="A8" s="2" t="inlineStr">
        <is>
          <t>二、使用步骤</t>
        </is>
      </c>
    </row>
    <row r="9">
      <c r="A9" t="inlineStr">
        <is>
          <t>步骤1：到「00_客户期望配置」填写所有黄色单元格（风险偏好、价格带、毛利率、评分数上限、增长率下限、上架偏好、是否接受自营、四大权重），最后确认「是」。</t>
        </is>
      </c>
    </row>
    <row r="10">
      <c r="A10" t="inlineStr">
        <is>
          <t>步骤2：检查 B25 显示【已完成】。</t>
        </is>
      </c>
    </row>
    <row r="11">
      <c r="A11" t="inlineStr">
        <is>
          <t>步骤3：把卖家精灵选产品导出的 Excel 按「02_ASIN原始数据」表头顺序粘贴（从第3行开始）。注意 unitsGr、profit 保持数字，availableDate 尽量为日期。</t>
        </is>
      </c>
    </row>
    <row r="12">
      <c r="A12" t="inlineStr">
        <is>
          <t>步骤4：查看「04_最终评分」——红色「否决」行为一票否决；S/A/B/C 为推荐等级。</t>
        </is>
      </c>
    </row>
    <row r="13">
      <c r="A13" t="inlineStr">
        <is>
          <t>步骤5：「05_推荐清单」自动过滤出通过且总分≥6 的产品（需 Excel 365/2021+ 支持 FILTER）。</t>
        </is>
      </c>
    </row>
    <row r="14">
      <c r="A14" t="inlineStr">
        <is>
          <t>步骤6：如需调整标准，只需修改「00」的期望值，全表自动刷新。</t>
        </is>
      </c>
    </row>
    <row r="16">
      <c r="A16" s="2" t="inlineStr">
        <is>
          <t>三、字段与维度对应（仅真实字段）</t>
        </is>
      </c>
    </row>
    <row r="17">
      <c r="A17" t="inlineStr">
        <is>
          <t>低竞争：ratings（评分数）、sellers、池内 units 排名</t>
        </is>
      </c>
    </row>
    <row r="18">
      <c r="A18" t="inlineStr">
        <is>
          <t>上升生命周期：unitsGr（销量增长率）、availableDate（上架时间）</t>
        </is>
      </c>
    </row>
    <row r="19">
      <c r="A19" t="inlineStr">
        <is>
          <t>利润健康：price、profit（预估毛利率）</t>
        </is>
      </c>
    </row>
    <row r="20">
      <c r="A20" t="inlineStr">
        <is>
          <t>准入门槛低：ratings、availableDate、badge_newRelease</t>
        </is>
      </c>
    </row>
    <row r="21">
      <c r="A21" t="inlineStr">
        <is>
          <t>一票否决：评分数超限、增长率不达标、毛利率不足、自营（若客户选择不接受）</t>
        </is>
      </c>
    </row>
    <row r="23">
      <c r="A23" s="2" t="inlineStr">
        <is>
          <t>四、注意事项</t>
        </is>
      </c>
    </row>
    <row r="24">
      <c r="A24" t="inlineStr">
        <is>
          <t>• 本表最多预置 50 条 ASIN 计算行，如需更多请复制公式行向下填充。</t>
        </is>
      </c>
    </row>
    <row r="25">
      <c r="A25" t="inlineStr">
        <is>
          <t>• 若 FILTER 不生效，请在「04」手动筛选「一票否决=通过」且「加权总分≥6」，再按总分降序。</t>
        </is>
      </c>
    </row>
    <row r="26">
      <c r="A26" t="inlineStr">
        <is>
          <t>• 黄色单元格为输入区（蓝色字体），绿色字体为跨表引用公式，黑色为计算。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客户期望配置（强制门禁）— 必须全部填写并确认后，评分才生效</t>
        </is>
      </c>
    </row>
    <row r="2">
      <c r="A2" s="4" t="inlineStr">
        <is>
          <t>数据源限制：仅使用卖家精灵「选产品」真实返回字段，禁止虚构任何指标</t>
        </is>
      </c>
    </row>
    <row r="4">
      <c r="A4" s="5" t="inlineStr">
        <is>
          <t>一、客户画像与硬性约束</t>
        </is>
      </c>
    </row>
    <row r="5">
      <c r="A5" s="6" t="inlineStr">
        <is>
          <t>风险偏好</t>
        </is>
      </c>
      <c r="B5" s="7" t="inlineStr">
        <is>
          <t>稳健</t>
        </is>
      </c>
      <c r="C5" s="8" t="inlineStr">
        <is>
          <t>保守=更严格否决与权重；激进=更看重增长</t>
        </is>
      </c>
    </row>
    <row r="6">
      <c r="A6" s="6" t="inlineStr">
        <is>
          <t>期望最低价格（USD）</t>
        </is>
      </c>
      <c r="B6" s="7" t="n">
        <v>20</v>
      </c>
      <c r="C6" s="8" t="inlineStr">
        <is>
          <t>对应 price 字段，低于此价格不得高分</t>
        </is>
      </c>
    </row>
    <row r="7">
      <c r="A7" s="6" t="inlineStr">
        <is>
          <t>期望最高价格（USD）</t>
        </is>
      </c>
      <c r="B7" s="7" t="n">
        <v>50</v>
      </c>
      <c r="C7" s="8" t="inlineStr">
        <is>
          <t>对应 price 字段，高于此价格不得高分</t>
        </is>
      </c>
    </row>
    <row r="8">
      <c r="A8" s="6" t="inlineStr">
        <is>
          <t>最低预估毛利率要求（%）</t>
        </is>
      </c>
      <c r="B8" s="7" t="n">
        <v>30</v>
      </c>
      <c r="C8" s="8" t="inlineStr">
        <is>
          <t>对应 profit 字段，低于此值直接一票否决</t>
        </is>
      </c>
    </row>
    <row r="9">
      <c r="A9" s="6" t="inlineStr">
        <is>
          <t>最高可接受评分数</t>
        </is>
      </c>
      <c r="B9" s="7" t="n">
        <v>1500</v>
      </c>
      <c r="C9" s="8" t="inlineStr">
        <is>
          <t>对应 ratings 字段，超过此值直接一票否决（准入门槛）</t>
        </is>
      </c>
    </row>
    <row r="10">
      <c r="A10" s="6" t="inlineStr">
        <is>
          <t>最低可接受销量增长率（%）</t>
        </is>
      </c>
      <c r="B10" s="7" t="n">
        <v>10</v>
      </c>
      <c r="C10" s="8" t="inlineStr">
        <is>
          <t>对应 unitsGr 字段，低于此值直接一票否决（生命周期）</t>
        </is>
      </c>
    </row>
    <row r="11">
      <c r="A11" s="6" t="inlineStr">
        <is>
          <t>上架时间偏好</t>
        </is>
      </c>
      <c r="B11" s="7" t="inlineStr">
        <is>
          <t>近12个月</t>
        </is>
      </c>
      <c r="C11" s="8" t="inlineStr">
        <is>
          <t>基于 availableDate 判断是否处于客户接受的窗口</t>
        </is>
      </c>
    </row>
    <row r="12">
      <c r="A12" s="6" t="inlineStr">
        <is>
          <t>是否接受亚马逊自营</t>
        </is>
      </c>
      <c r="B12" s="7" t="inlineStr">
        <is>
          <t>不接受</t>
        </is>
      </c>
      <c r="C12" s="8" t="inlineStr">
        <is>
          <t>fulfillment=AMZ 时是否触发否决</t>
        </is>
      </c>
    </row>
    <row r="14">
      <c r="A14" s="5" t="inlineStr">
        <is>
          <t>二、权重分配（总和必须 = 100）</t>
        </is>
      </c>
    </row>
    <row r="15">
      <c r="A15" s="6" t="inlineStr">
        <is>
          <t>低竞争权重（%）</t>
        </is>
      </c>
      <c r="B15" s="7" t="n">
        <v>30</v>
      </c>
      <c r="C15" s="8" t="inlineStr">
        <is>
          <t>评分数低 + 卖家数少 + 池内销量排名靠前</t>
        </is>
      </c>
    </row>
    <row r="16">
      <c r="A16" s="6" t="inlineStr">
        <is>
          <t>上升生命周期权重（%）</t>
        </is>
      </c>
      <c r="B16" s="7" t="n">
        <v>30</v>
      </c>
      <c r="C16" s="8" t="inlineStr">
        <is>
          <t>unitsGr 高 + 上架时间在窗口内</t>
        </is>
      </c>
    </row>
    <row r="17">
      <c r="A17" s="6" t="inlineStr">
        <is>
          <t>利润健康权重（%）</t>
        </is>
      </c>
      <c r="B17" s="7" t="n">
        <v>25</v>
      </c>
      <c r="C17" s="8" t="inlineStr">
        <is>
          <t>价格落在期望带 + profit 达标</t>
        </is>
      </c>
    </row>
    <row r="18">
      <c r="A18" s="6" t="inlineStr">
        <is>
          <t>准入门槛低权重（%）</t>
        </is>
      </c>
      <c r="B18" s="7" t="n">
        <v>15</v>
      </c>
      <c r="C18" s="8" t="inlineStr">
        <is>
          <t>评分数可控 + 新品窗口 + New Release</t>
        </is>
      </c>
    </row>
    <row r="20">
      <c r="A20" s="9" t="inlineStr">
        <is>
          <t>权重总和检查</t>
        </is>
      </c>
      <c r="B20" s="10">
        <f>B15+B16+B17+B18</f>
        <v/>
      </c>
      <c r="C20" s="11" t="inlineStr">
        <is>
          <t>必须等于 100，否则评分无效</t>
        </is>
      </c>
    </row>
    <row r="22">
      <c r="A22" s="5" t="inlineStr">
        <is>
          <t>三、完成确认</t>
        </is>
      </c>
    </row>
    <row r="23">
      <c r="A23" s="9" t="inlineStr">
        <is>
          <t>我已确认以上期望值，并理解评分将严格按此执行</t>
        </is>
      </c>
      <c r="B23" s="7" t="inlineStr">
        <is>
          <t>是</t>
        </is>
      </c>
    </row>
    <row r="25">
      <c r="A25" s="12" t="inlineStr">
        <is>
          <t>完成度检查（门禁）</t>
        </is>
      </c>
      <c r="B25" s="13">
        <f>IF(AND(B5&lt;&gt;"",B6&lt;&gt;"",B7&lt;&gt;"",B8&lt;&gt;"",B9&lt;&gt;"",B10&lt;&gt;"",B11&lt;&gt;"",B12&lt;&gt;"",B15&lt;&gt;"",B16&lt;&gt;"",B17&lt;&gt;"",B18&lt;&gt;"",B23="是",B20=100),"【已完成】可以进入评分","【未完成】请全部填写并确认，权重总和必须=100")</f>
        <v/>
      </c>
      <c r="C25" s="14" t="n"/>
      <c r="D25" s="14" t="n"/>
      <c r="E25" s="14" t="n"/>
      <c r="F25" s="15" t="n"/>
    </row>
    <row r="27">
      <c r="A27" s="16" t="inlineStr">
        <is>
          <t>使用说明</t>
        </is>
      </c>
    </row>
    <row r="28">
      <c r="A28" s="8" t="inlineStr">
        <is>
          <t>1. 黄色单元格为客户必填输入区（蓝色字体）。2. 全部填写并确认后，B25 显示【已完成】。3. 再到 02 粘贴卖家精灵数据，04/05 自动出结果。4. 修改期望后全表自动重算。</t>
        </is>
      </c>
    </row>
  </sheetData>
  <mergeCells count="7">
    <mergeCell ref="A2:F2"/>
    <mergeCell ref="A28:F28"/>
    <mergeCell ref="A14:C14"/>
    <mergeCell ref="A1:F1"/>
    <mergeCell ref="B25:F25"/>
    <mergeCell ref="A22:C22"/>
    <mergeCell ref="A4:C4"/>
  </mergeCells>
  <conditionalFormatting sqref="B25">
    <cfRule type="expression" priority="1" dxfId="0">
      <formula>ISNUMBER(SEARCH("未完成",B25))</formula>
    </cfRule>
    <cfRule type="expression" priority="2" dxfId="1">
      <formula>ISNUMBER(SEARCH("已完成",B25))</formula>
    </cfRule>
  </conditionalFormatting>
  <dataValidations count="4">
    <dataValidation sqref="B5" showDropDown="0" showInputMessage="0" showErrorMessage="0" allowBlank="0" errorTitle="输入错误" error="请选择保守/稳健/激进" type="list">
      <formula1>"保守,稳健,激进"</formula1>
    </dataValidation>
    <dataValidation sqref="B11" showDropDown="0" showInputMessage="0" showErrorMessage="0" allowBlank="0" type="list">
      <formula1>"近6个月,近12个月,不限"</formula1>
    </dataValidation>
    <dataValidation sqref="B12" showDropDown="0" showInputMessage="0" showErrorMessage="0" allowBlank="0" type="list">
      <formula1>"不接受,可接受"</formula1>
    </dataValidation>
    <dataValidation sqref="B23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</cols>
  <sheetData>
    <row r="1">
      <c r="A1" s="3" t="inlineStr">
        <is>
          <t>动态参数（全部自动引用 00_客户期望配置，禁止手动修改）</t>
        </is>
      </c>
    </row>
    <row r="3">
      <c r="A3" s="5" t="inlineStr">
        <is>
          <t>权重（小数）</t>
        </is>
      </c>
    </row>
    <row r="4">
      <c r="A4" s="6" t="inlineStr">
        <is>
          <t>低竞争权重</t>
        </is>
      </c>
      <c r="B4" s="17">
        <f>'00_客户期望配置'!B15/100</f>
        <v/>
      </c>
    </row>
    <row r="5">
      <c r="A5" s="6" t="inlineStr">
        <is>
          <t>上升生命周期权重</t>
        </is>
      </c>
      <c r="B5" s="17">
        <f>'00_客户期望配置'!B16/100</f>
        <v/>
      </c>
    </row>
    <row r="6">
      <c r="A6" s="6" t="inlineStr">
        <is>
          <t>利润健康权重</t>
        </is>
      </c>
      <c r="B6" s="17">
        <f>'00_客户期望配置'!B17/100</f>
        <v/>
      </c>
    </row>
    <row r="7">
      <c r="A7" s="6" t="inlineStr">
        <is>
          <t>准入门槛低权重</t>
        </is>
      </c>
      <c r="B7" s="17">
        <f>'00_客户期望配置'!B18/100</f>
        <v/>
      </c>
    </row>
    <row r="9">
      <c r="A9" s="5" t="inlineStr">
        <is>
          <t>阈值与否决线</t>
        </is>
      </c>
    </row>
    <row r="10">
      <c r="A10" s="6" t="inlineStr">
        <is>
          <t>价格下限</t>
        </is>
      </c>
      <c r="B10" s="18">
        <f>'00_客户期望配置'!B6</f>
        <v/>
      </c>
    </row>
    <row r="11">
      <c r="A11" s="6" t="inlineStr">
        <is>
          <t>价格上限</t>
        </is>
      </c>
      <c r="B11" s="18">
        <f>'00_客户期望配置'!B7</f>
        <v/>
      </c>
    </row>
    <row r="12">
      <c r="A12" s="6" t="inlineStr">
        <is>
          <t>毛利率否决线（%）</t>
        </is>
      </c>
      <c r="B12" s="18">
        <f>'00_客户期望配置'!B8</f>
        <v/>
      </c>
    </row>
    <row r="13">
      <c r="A13" s="6" t="inlineStr">
        <is>
          <t>评分数否决线</t>
        </is>
      </c>
      <c r="B13" s="18">
        <f>'00_客户期望配置'!B9</f>
        <v/>
      </c>
    </row>
    <row r="14">
      <c r="A14" s="6" t="inlineStr">
        <is>
          <t>增长率否决线（%）</t>
        </is>
      </c>
      <c r="B14" s="18">
        <f>'00_客户期望配置'!B10</f>
        <v/>
      </c>
    </row>
    <row r="15">
      <c r="A15" s="6" t="inlineStr">
        <is>
          <t>上架时间偏好（天）</t>
        </is>
      </c>
      <c r="B15" s="18">
        <f>IF('00_客户期望配置'!B11="近6个月",180,IF('00_客户期望配置'!B11="近12个月",365,9999))</f>
        <v/>
      </c>
    </row>
    <row r="16">
      <c r="A16" s="6" t="inlineStr">
        <is>
          <t>是否否决自营（1=是）</t>
        </is>
      </c>
      <c r="B16" s="18">
        <f>IF('00_客户期望配置'!B12="不接受",1,0)</f>
        <v/>
      </c>
    </row>
    <row r="18">
      <c r="A18" s="19" t="inlineStr">
        <is>
          <t>说明：本表所有值均自动从「00_客户期望配置」拉取，客户修改期望后此处实时更新，驱动后续打分与否决。</t>
        </is>
      </c>
    </row>
  </sheetData>
  <mergeCells count="4">
    <mergeCell ref="A1:C1"/>
    <mergeCell ref="A18:C18"/>
    <mergeCell ref="A3:B3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0" customWidth="1" min="18" max="18"/>
  </cols>
  <sheetData>
    <row r="1">
      <c r="A1" s="3" t="inlineStr">
        <is>
          <t>ASIN原始数据（请将卖家精灵「选产品」导出结果按下列字段顺序粘贴，从第2行开始）</t>
        </is>
      </c>
    </row>
    <row r="2">
      <c r="A2" s="20" t="inlineStr">
        <is>
          <t>asin</t>
        </is>
      </c>
      <c r="B2" s="20" t="inlineStr">
        <is>
          <t>title</t>
        </is>
      </c>
      <c r="C2" s="20" t="inlineStr">
        <is>
          <t>brand</t>
        </is>
      </c>
      <c r="D2" s="20" t="inlineStr">
        <is>
          <t>price</t>
        </is>
      </c>
      <c r="E2" s="20" t="inlineStr">
        <is>
          <t>units</t>
        </is>
      </c>
      <c r="F2" s="20" t="inlineStr">
        <is>
          <t>unitsGr</t>
        </is>
      </c>
      <c r="G2" s="20" t="inlineStr">
        <is>
          <t>revenue</t>
        </is>
      </c>
      <c r="H2" s="20" t="inlineStr">
        <is>
          <t>bsr</t>
        </is>
      </c>
      <c r="I2" s="20" t="inlineStr">
        <is>
          <t>rating</t>
        </is>
      </c>
      <c r="J2" s="20" t="inlineStr">
        <is>
          <t>ratings</t>
        </is>
      </c>
      <c r="K2" s="20" t="inlineStr">
        <is>
          <t>ratingsCv</t>
        </is>
      </c>
      <c r="L2" s="20" t="inlineStr">
        <is>
          <t>availableDate</t>
        </is>
      </c>
      <c r="M2" s="20" t="inlineStr">
        <is>
          <t>fulfillment</t>
        </is>
      </c>
      <c r="N2" s="20" t="inlineStr">
        <is>
          <t>profit</t>
        </is>
      </c>
      <c r="O2" s="20" t="inlineStr">
        <is>
          <t>fba</t>
        </is>
      </c>
      <c r="P2" s="20" t="inlineStr">
        <is>
          <t>sellers</t>
        </is>
      </c>
      <c r="Q2" s="20" t="inlineStr">
        <is>
          <t>badge_newRelease</t>
        </is>
      </c>
      <c r="R2" s="20" t="inlineStr">
        <is>
          <t>nodeLabelPath</t>
        </is>
      </c>
    </row>
    <row r="3">
      <c r="A3" s="21" t="inlineStr">
        <is>
          <t>B0SAMPLE001</t>
        </is>
      </c>
      <c r="B3" s="21" t="inlineStr">
        <is>
          <t>Wireless Earbuds Pro Noise Cancelling</t>
        </is>
      </c>
      <c r="C3" s="21" t="inlineStr">
        <is>
          <t>TechSound</t>
        </is>
      </c>
      <c r="D3" s="21" t="n">
        <v>39.99</v>
      </c>
      <c r="E3" s="21" t="n">
        <v>1250</v>
      </c>
      <c r="F3" s="21" t="n">
        <v>28.5</v>
      </c>
      <c r="G3" s="21" t="n">
        <v>49987.5</v>
      </c>
      <c r="H3" s="21" t="n">
        <v>1520</v>
      </c>
      <c r="I3" s="21" t="n">
        <v>4.3</v>
      </c>
      <c r="J3" s="21" t="n">
        <v>680</v>
      </c>
      <c r="K3" s="21" t="n">
        <v>45</v>
      </c>
      <c r="L3" s="26" t="n">
        <v>45976</v>
      </c>
      <c r="M3" s="21" t="inlineStr">
        <is>
          <t>FBA</t>
        </is>
      </c>
      <c r="N3" s="21" t="n">
        <v>42.5</v>
      </c>
      <c r="O3" s="21" t="n">
        <v>5.8</v>
      </c>
      <c r="P3" s="21" t="n">
        <v>2</v>
      </c>
      <c r="Q3" s="21" t="inlineStr">
        <is>
          <t>Y</t>
        </is>
      </c>
      <c r="R3" s="21" t="inlineStr">
        <is>
          <t>Electronics:Headphones</t>
        </is>
      </c>
    </row>
    <row r="4">
      <c r="A4" s="21" t="inlineStr">
        <is>
          <t>B0SAMPLE002</t>
        </is>
      </c>
      <c r="B4" s="21" t="inlineStr">
        <is>
          <t>USB-C Fast Charging Cable 3-Pack</t>
        </is>
      </c>
      <c r="C4" s="21" t="inlineStr">
        <is>
          <t>CableKing</t>
        </is>
      </c>
      <c r="D4" s="21" t="n">
        <v>12.99</v>
      </c>
      <c r="E4" s="21" t="n">
        <v>8900</v>
      </c>
      <c r="F4" s="21" t="n">
        <v>5.2</v>
      </c>
      <c r="G4" s="21" t="n">
        <v>115611</v>
      </c>
      <c r="H4" s="21" t="n">
        <v>320</v>
      </c>
      <c r="I4" s="21" t="n">
        <v>4.6</v>
      </c>
      <c r="J4" s="21" t="n">
        <v>15200</v>
      </c>
      <c r="K4" s="21" t="n">
        <v>320</v>
      </c>
      <c r="L4" s="26" t="n">
        <v>44995</v>
      </c>
      <c r="M4" s="21" t="inlineStr">
        <is>
          <t>FBA</t>
        </is>
      </c>
      <c r="N4" s="21" t="n">
        <v>55</v>
      </c>
      <c r="O4" s="21" t="n">
        <v>3.2</v>
      </c>
      <c r="P4" s="21" t="n">
        <v>8</v>
      </c>
      <c r="Q4" s="21" t="inlineStr">
        <is>
          <t>N</t>
        </is>
      </c>
      <c r="R4" s="21" t="inlineStr">
        <is>
          <t>Electronics:Cables</t>
        </is>
      </c>
    </row>
    <row r="5">
      <c r="A5" s="21" t="inlineStr">
        <is>
          <t>B0SAMPLE003</t>
        </is>
      </c>
      <c r="B5" s="21" t="inlineStr">
        <is>
          <t>Portable Blender for Smoothies</t>
        </is>
      </c>
      <c r="C5" s="21" t="inlineStr">
        <is>
          <t>BlendGo</t>
        </is>
      </c>
      <c r="D5" s="21" t="n">
        <v>29.99</v>
      </c>
      <c r="E5" s="21" t="n">
        <v>2100</v>
      </c>
      <c r="F5" s="21" t="n">
        <v>45</v>
      </c>
      <c r="G5" s="21" t="n">
        <v>62979</v>
      </c>
      <c r="H5" s="21" t="n">
        <v>890</v>
      </c>
      <c r="I5" s="21" t="n">
        <v>4.1</v>
      </c>
      <c r="J5" s="21" t="n">
        <v>320</v>
      </c>
      <c r="K5" s="21" t="n">
        <v>28</v>
      </c>
      <c r="L5" s="26" t="n">
        <v>46073</v>
      </c>
      <c r="M5" s="21" t="inlineStr">
        <is>
          <t>FBA</t>
        </is>
      </c>
      <c r="N5" s="21" t="n">
        <v>38</v>
      </c>
      <c r="O5" s="21" t="n">
        <v>6.5</v>
      </c>
      <c r="P5" s="21" t="n">
        <v>1</v>
      </c>
      <c r="Q5" s="21" t="inlineStr">
        <is>
          <t>Y</t>
        </is>
      </c>
      <c r="R5" s="21" t="inlineStr">
        <is>
          <t>Home:Kitchen</t>
        </is>
      </c>
    </row>
    <row r="6">
      <c r="A6" s="21" t="inlineStr">
        <is>
          <t>B0SAMPLE004</t>
        </is>
      </c>
      <c r="B6" s="21" t="inlineStr">
        <is>
          <t>Ergonomic Office Chair Lumbar Support</t>
        </is>
      </c>
      <c r="C6" s="21" t="inlineStr">
        <is>
          <t>SitWell</t>
        </is>
      </c>
      <c r="D6" s="21" t="n">
        <v>189</v>
      </c>
      <c r="E6" s="21" t="n">
        <v>450</v>
      </c>
      <c r="F6" s="21" t="n">
        <v>-8.5</v>
      </c>
      <c r="G6" s="21" t="n">
        <v>85050</v>
      </c>
      <c r="H6" s="21" t="n">
        <v>5600</v>
      </c>
      <c r="I6" s="21" t="n">
        <v>4.4</v>
      </c>
      <c r="J6" s="21" t="n">
        <v>2800</v>
      </c>
      <c r="K6" s="21" t="n">
        <v>15</v>
      </c>
      <c r="L6" s="26" t="n">
        <v>45444</v>
      </c>
      <c r="M6" s="21" t="inlineStr">
        <is>
          <t>AMZ</t>
        </is>
      </c>
      <c r="N6" s="21" t="n">
        <v>28</v>
      </c>
      <c r="O6" s="21" t="n">
        <v>28</v>
      </c>
      <c r="P6" s="21" t="n">
        <v>1</v>
      </c>
      <c r="Q6" s="21" t="inlineStr">
        <is>
          <t>N</t>
        </is>
      </c>
      <c r="R6" s="21" t="inlineStr">
        <is>
          <t>Furniture:Office Chairs</t>
        </is>
      </c>
    </row>
    <row r="7">
      <c r="A7" s="21" t="inlineStr">
        <is>
          <t>B0SAMPLE005</t>
        </is>
      </c>
      <c r="B7" s="21" t="inlineStr">
        <is>
          <t>LED Desk Lamp with Wireless Charger</t>
        </is>
      </c>
      <c r="C7" s="21" t="inlineStr">
        <is>
          <t>LightPlus</t>
        </is>
      </c>
      <c r="D7" s="21" t="n">
        <v>45.5</v>
      </c>
      <c r="E7" s="21" t="n">
        <v>980</v>
      </c>
      <c r="F7" s="21" t="n">
        <v>18</v>
      </c>
      <c r="G7" s="21" t="n">
        <v>44590</v>
      </c>
      <c r="H7" s="21" t="n">
        <v>2100</v>
      </c>
      <c r="I7" s="21" t="n">
        <v>4.5</v>
      </c>
      <c r="J7" s="21" t="n">
        <v>950</v>
      </c>
      <c r="K7" s="21" t="n">
        <v>60</v>
      </c>
      <c r="L7" s="26" t="n">
        <v>45874</v>
      </c>
      <c r="M7" s="21" t="inlineStr">
        <is>
          <t>FBA</t>
        </is>
      </c>
      <c r="N7" s="21" t="n">
        <v>48</v>
      </c>
      <c r="O7" s="21" t="n">
        <v>7.1</v>
      </c>
      <c r="P7" s="21" t="n">
        <v>3</v>
      </c>
      <c r="Q7" s="21" t="inlineStr">
        <is>
          <t>N</t>
        </is>
      </c>
      <c r="R7" s="21" t="inlineStr">
        <is>
          <t>Home:Lighting</t>
        </is>
      </c>
    </row>
    <row r="8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1" t="inlineStr"/>
    </row>
    <row r="9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  <c r="P9" s="21" t="inlineStr"/>
      <c r="Q9" s="21" t="inlineStr"/>
      <c r="R9" s="21" t="inlineStr"/>
    </row>
    <row r="10">
      <c r="A10" s="21" t="inlineStr"/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  <c r="Q10" s="21" t="inlineStr"/>
      <c r="R10" s="21" t="inlineStr"/>
    </row>
    <row r="1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</row>
    <row r="12">
      <c r="A12" s="21" t="inlineStr"/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</row>
    <row r="13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</row>
    <row r="14">
      <c r="A14" s="21" t="inlineStr"/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</row>
    <row r="16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</row>
    <row r="18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/>
      <c r="Q18" s="21" t="inlineStr"/>
      <c r="R18" s="21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</row>
    <row r="20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1" t="inlineStr"/>
    </row>
    <row r="22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</row>
    <row r="24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  <c r="Q25" s="21" t="inlineStr"/>
      <c r="R25" s="21" t="inlineStr"/>
    </row>
    <row r="26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  <c r="Q27" s="21" t="inlineStr"/>
      <c r="R27" s="21" t="inlineStr"/>
    </row>
    <row r="28">
      <c r="A28" s="21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21" t="inlineStr"/>
      <c r="R29" s="21" t="inlineStr"/>
    </row>
    <row r="30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  <c r="L31" s="21" t="inlineStr"/>
      <c r="M31" s="21" t="inlineStr"/>
      <c r="N31" s="21" t="inlineStr"/>
      <c r="O31" s="21" t="inlineStr"/>
      <c r="P31" s="21" t="inlineStr"/>
      <c r="Q31" s="21" t="inlineStr"/>
      <c r="R31" s="21" t="inlineStr"/>
    </row>
    <row r="32">
      <c r="A32" s="21" t="inlineStr"/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1" t="inlineStr"/>
      <c r="Q33" s="21" t="inlineStr"/>
      <c r="R33" s="21" t="inlineStr"/>
    </row>
    <row r="34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</row>
    <row r="35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  <c r="H35" s="21" t="inlineStr"/>
      <c r="I35" s="21" t="inlineStr"/>
      <c r="J35" s="21" t="inlineStr"/>
      <c r="K35" s="21" t="inlineStr"/>
      <c r="L35" s="21" t="inlineStr"/>
      <c r="M35" s="21" t="inlineStr"/>
      <c r="N35" s="21" t="inlineStr"/>
      <c r="O35" s="21" t="inlineStr"/>
      <c r="P35" s="21" t="inlineStr"/>
      <c r="Q35" s="21" t="inlineStr"/>
      <c r="R35" s="21" t="inlineStr"/>
    </row>
    <row r="36">
      <c r="A36" s="21" t="inlineStr"/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  <c r="I36" s="21" t="inlineStr"/>
      <c r="J36" s="21" t="inlineStr"/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</row>
    <row r="37">
      <c r="A37" s="21" t="inlineStr"/>
      <c r="B37" s="21" t="inlineStr"/>
      <c r="C37" s="21" t="inlineStr"/>
      <c r="D37" s="21" t="inlineStr"/>
      <c r="E37" s="21" t="inlineStr"/>
      <c r="F37" s="21" t="inlineStr"/>
      <c r="G37" s="21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</row>
    <row r="38">
      <c r="A38" s="21" t="inlineStr"/>
      <c r="B38" s="21" t="inlineStr"/>
      <c r="C38" s="21" t="inlineStr"/>
      <c r="D38" s="21" t="inlineStr"/>
      <c r="E38" s="21" t="inlineStr"/>
      <c r="F38" s="21" t="inlineStr"/>
      <c r="G38" s="21" t="inlineStr"/>
      <c r="H38" s="21" t="inlineStr"/>
      <c r="I38" s="21" t="inlineStr"/>
      <c r="J38" s="21" t="inlineStr"/>
      <c r="K38" s="21" t="inlineStr"/>
      <c r="L38" s="21" t="inlineStr"/>
      <c r="M38" s="21" t="inlineStr"/>
      <c r="N38" s="21" t="inlineStr"/>
      <c r="O38" s="21" t="inlineStr"/>
      <c r="P38" s="21" t="inlineStr"/>
      <c r="Q38" s="21" t="inlineStr"/>
      <c r="R38" s="21" t="inlineStr"/>
    </row>
    <row r="39">
      <c r="A39" s="21" t="inlineStr"/>
      <c r="B39" s="21" t="inlineStr"/>
      <c r="C39" s="21" t="inlineStr"/>
      <c r="D39" s="21" t="inlineStr"/>
      <c r="E39" s="21" t="inlineStr"/>
      <c r="F39" s="21" t="inlineStr"/>
      <c r="G39" s="21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  <c r="Q39" s="21" t="inlineStr"/>
      <c r="R39" s="21" t="inlineStr"/>
    </row>
    <row r="40">
      <c r="A40" s="21" t="inlineStr"/>
      <c r="B40" s="21" t="inlineStr"/>
      <c r="C40" s="21" t="inlineStr"/>
      <c r="D40" s="21" t="inlineStr"/>
      <c r="E40" s="21" t="inlineStr"/>
      <c r="F40" s="21" t="inlineStr"/>
      <c r="G40" s="21" t="inlineStr"/>
      <c r="H40" s="21" t="inlineStr"/>
      <c r="I40" s="21" t="inlineStr"/>
      <c r="J40" s="21" t="inlineStr"/>
      <c r="K40" s="21" t="inlineStr"/>
      <c r="L40" s="21" t="inlineStr"/>
      <c r="M40" s="21" t="inlineStr"/>
      <c r="N40" s="21" t="inlineStr"/>
      <c r="O40" s="21" t="inlineStr"/>
      <c r="P40" s="21" t="inlineStr"/>
      <c r="Q40" s="21" t="inlineStr"/>
      <c r="R40" s="21" t="inlineStr"/>
    </row>
    <row r="41">
      <c r="A41" s="21" t="inlineStr"/>
      <c r="B41" s="21" t="inlineStr"/>
      <c r="C41" s="21" t="inlineStr"/>
      <c r="D41" s="21" t="inlineStr"/>
      <c r="E41" s="21" t="inlineStr"/>
      <c r="F41" s="21" t="inlineStr"/>
      <c r="G41" s="21" t="inlineStr"/>
      <c r="H41" s="21" t="inlineStr"/>
      <c r="I41" s="21" t="inlineStr"/>
      <c r="J41" s="21" t="inlineStr"/>
      <c r="K41" s="21" t="inlineStr"/>
      <c r="L41" s="21" t="inlineStr"/>
      <c r="M41" s="21" t="inlineStr"/>
      <c r="N41" s="21" t="inlineStr"/>
      <c r="O41" s="21" t="inlineStr"/>
      <c r="P41" s="21" t="inlineStr"/>
      <c r="Q41" s="21" t="inlineStr"/>
      <c r="R41" s="21" t="inlineStr"/>
    </row>
    <row r="42">
      <c r="A42" s="21" t="inlineStr"/>
      <c r="B42" s="21" t="inlineStr"/>
      <c r="C42" s="21" t="inlineStr"/>
      <c r="D42" s="21" t="inlineStr"/>
      <c r="E42" s="21" t="inlineStr"/>
      <c r="F42" s="21" t="inlineStr"/>
      <c r="G42" s="21" t="inlineStr"/>
      <c r="H42" s="21" t="inlineStr"/>
      <c r="I42" s="21" t="inlineStr"/>
      <c r="J42" s="21" t="inlineStr"/>
      <c r="K42" s="21" t="inlineStr"/>
      <c r="L42" s="21" t="inlineStr"/>
      <c r="M42" s="21" t="inlineStr"/>
      <c r="N42" s="21" t="inlineStr"/>
      <c r="O42" s="21" t="inlineStr"/>
      <c r="P42" s="21" t="inlineStr"/>
      <c r="Q42" s="21" t="inlineStr"/>
      <c r="R42" s="21" t="inlineStr"/>
    </row>
    <row r="43">
      <c r="A43" s="21" t="inlineStr"/>
      <c r="B43" s="21" t="inlineStr"/>
      <c r="C43" s="21" t="inlineStr"/>
      <c r="D43" s="21" t="inlineStr"/>
      <c r="E43" s="21" t="inlineStr"/>
      <c r="F43" s="21" t="inlineStr"/>
      <c r="G43" s="21" t="inlineStr"/>
      <c r="H43" s="21" t="inlineStr"/>
      <c r="I43" s="21" t="inlineStr"/>
      <c r="J43" s="21" t="inlineStr"/>
      <c r="K43" s="21" t="inlineStr"/>
      <c r="L43" s="21" t="inlineStr"/>
      <c r="M43" s="21" t="inlineStr"/>
      <c r="N43" s="21" t="inlineStr"/>
      <c r="O43" s="21" t="inlineStr"/>
      <c r="P43" s="21" t="inlineStr"/>
      <c r="Q43" s="21" t="inlineStr"/>
      <c r="R43" s="21" t="inlineStr"/>
    </row>
    <row r="44">
      <c r="A44" s="21" t="inlineStr"/>
      <c r="B44" s="21" t="inlineStr"/>
      <c r="C44" s="21" t="inlineStr"/>
      <c r="D44" s="21" t="inlineStr"/>
      <c r="E44" s="21" t="inlineStr"/>
      <c r="F44" s="21" t="inlineStr"/>
      <c r="G44" s="21" t="inlineStr"/>
      <c r="H44" s="21" t="inlineStr"/>
      <c r="I44" s="21" t="inlineStr"/>
      <c r="J44" s="21" t="inlineStr"/>
      <c r="K44" s="21" t="inlineStr"/>
      <c r="L44" s="21" t="inlineStr"/>
      <c r="M44" s="21" t="inlineStr"/>
      <c r="N44" s="21" t="inlineStr"/>
      <c r="O44" s="21" t="inlineStr"/>
      <c r="P44" s="21" t="inlineStr"/>
      <c r="Q44" s="21" t="inlineStr"/>
      <c r="R44" s="21" t="inlineStr"/>
    </row>
    <row r="45">
      <c r="A45" s="21" t="inlineStr"/>
      <c r="B45" s="21" t="inlineStr"/>
      <c r="C45" s="21" t="inlineStr"/>
      <c r="D45" s="21" t="inlineStr"/>
      <c r="E45" s="21" t="inlineStr"/>
      <c r="F45" s="21" t="inlineStr"/>
      <c r="G45" s="21" t="inlineStr"/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21" t="inlineStr"/>
    </row>
    <row r="46">
      <c r="A46" s="21" t="inlineStr"/>
      <c r="B46" s="21" t="inlineStr"/>
      <c r="C46" s="21" t="inlineStr"/>
      <c r="D46" s="21" t="inlineStr"/>
      <c r="E46" s="21" t="inlineStr"/>
      <c r="F46" s="21" t="inlineStr"/>
      <c r="G46" s="21" t="inlineStr"/>
      <c r="H46" s="21" t="inlineStr"/>
      <c r="I46" s="21" t="inlineStr"/>
      <c r="J46" s="21" t="inlineStr"/>
      <c r="K46" s="21" t="inlineStr"/>
      <c r="L46" s="21" t="inlineStr"/>
      <c r="M46" s="21" t="inlineStr"/>
      <c r="N46" s="21" t="inlineStr"/>
      <c r="O46" s="21" t="inlineStr"/>
      <c r="P46" s="21" t="inlineStr"/>
      <c r="Q46" s="21" t="inlineStr"/>
      <c r="R46" s="21" t="inlineStr"/>
    </row>
    <row r="47">
      <c r="A47" s="21" t="inlineStr"/>
      <c r="B47" s="21" t="inlineStr"/>
      <c r="C47" s="21" t="inlineStr"/>
      <c r="D47" s="21" t="inlineStr"/>
      <c r="E47" s="21" t="inlineStr"/>
      <c r="F47" s="21" t="inlineStr"/>
      <c r="G47" s="21" t="inlineStr"/>
      <c r="H47" s="21" t="inlineStr"/>
      <c r="I47" s="21" t="inlineStr"/>
      <c r="J47" s="21" t="inlineStr"/>
      <c r="K47" s="21" t="inlineStr"/>
      <c r="L47" s="21" t="inlineStr"/>
      <c r="M47" s="21" t="inlineStr"/>
      <c r="N47" s="21" t="inlineStr"/>
      <c r="O47" s="21" t="inlineStr"/>
      <c r="P47" s="21" t="inlineStr"/>
      <c r="Q47" s="21" t="inlineStr"/>
      <c r="R47" s="21" t="inlineStr"/>
    </row>
    <row r="48">
      <c r="A48" s="21" t="inlineStr"/>
      <c r="B48" s="21" t="inlineStr"/>
      <c r="C48" s="21" t="inlineStr"/>
      <c r="D48" s="21" t="inlineStr"/>
      <c r="E48" s="21" t="inlineStr"/>
      <c r="F48" s="21" t="inlineStr"/>
      <c r="G48" s="21" t="inlineStr"/>
      <c r="H48" s="21" t="inlineStr"/>
      <c r="I48" s="21" t="inlineStr"/>
      <c r="J48" s="21" t="inlineStr"/>
      <c r="K48" s="21" t="inlineStr"/>
      <c r="L48" s="21" t="inlineStr"/>
      <c r="M48" s="21" t="inlineStr"/>
      <c r="N48" s="21" t="inlineStr"/>
      <c r="O48" s="21" t="inlineStr"/>
      <c r="P48" s="21" t="inlineStr"/>
      <c r="Q48" s="21" t="inlineStr"/>
      <c r="R48" s="21" t="inlineStr"/>
    </row>
    <row r="49">
      <c r="A49" s="21" t="inlineStr"/>
      <c r="B49" s="21" t="inlineStr"/>
      <c r="C49" s="21" t="inlineStr"/>
      <c r="D49" s="21" t="inlineStr"/>
      <c r="E49" s="21" t="inlineStr"/>
      <c r="F49" s="21" t="inlineStr"/>
      <c r="G49" s="21" t="inlineStr"/>
      <c r="H49" s="21" t="inlineStr"/>
      <c r="I49" s="21" t="inlineStr"/>
      <c r="J49" s="21" t="inlineStr"/>
      <c r="K49" s="21" t="inlineStr"/>
      <c r="L49" s="21" t="inlineStr"/>
      <c r="M49" s="21" t="inlineStr"/>
      <c r="N49" s="21" t="inlineStr"/>
      <c r="O49" s="21" t="inlineStr"/>
      <c r="P49" s="21" t="inlineStr"/>
      <c r="Q49" s="21" t="inlineStr"/>
      <c r="R49" s="21" t="inlineStr"/>
    </row>
    <row r="50">
      <c r="A50" s="21" t="inlineStr"/>
      <c r="B50" s="21" t="inlineStr"/>
      <c r="C50" s="21" t="inlineStr"/>
      <c r="D50" s="21" t="inlineStr"/>
      <c r="E50" s="21" t="inlineStr"/>
      <c r="F50" s="21" t="inlineStr"/>
      <c r="G50" s="21" t="inlineStr"/>
      <c r="H50" s="21" t="inlineStr"/>
      <c r="I50" s="21" t="inlineStr"/>
      <c r="J50" s="21" t="inlineStr"/>
      <c r="K50" s="21" t="inlineStr"/>
      <c r="L50" s="21" t="inlineStr"/>
      <c r="M50" s="21" t="inlineStr"/>
      <c r="N50" s="21" t="inlineStr"/>
      <c r="O50" s="21" t="inlineStr"/>
      <c r="P50" s="21" t="inlineStr"/>
      <c r="Q50" s="21" t="inlineStr"/>
      <c r="R50" s="21" t="inlineStr"/>
    </row>
    <row r="51">
      <c r="A51" s="21" t="inlineStr"/>
      <c r="B51" s="21" t="inlineStr"/>
      <c r="C51" s="21" t="inlineStr"/>
      <c r="D51" s="21" t="inlineStr"/>
      <c r="E51" s="21" t="inlineStr"/>
      <c r="F51" s="21" t="inlineStr"/>
      <c r="G51" s="21" t="inlineStr"/>
      <c r="H51" s="21" t="inlineStr"/>
      <c r="I51" s="21" t="inlineStr"/>
      <c r="J51" s="21" t="inlineStr"/>
      <c r="K51" s="21" t="inlineStr"/>
      <c r="L51" s="21" t="inlineStr"/>
      <c r="M51" s="21" t="inlineStr"/>
      <c r="N51" s="21" t="inlineStr"/>
      <c r="O51" s="21" t="inlineStr"/>
      <c r="P51" s="21" t="inlineStr"/>
      <c r="Q51" s="21" t="inlineStr"/>
      <c r="R51" s="21" t="inlineStr"/>
    </row>
    <row r="52">
      <c r="A52" s="21" t="inlineStr"/>
      <c r="B52" s="21" t="inlineStr"/>
      <c r="C52" s="21" t="inlineStr"/>
      <c r="D52" s="21" t="inlineStr"/>
      <c r="E52" s="21" t="inlineStr"/>
      <c r="F52" s="21" t="inlineStr"/>
      <c r="G52" s="21" t="inlineStr"/>
      <c r="H52" s="21" t="inlineStr"/>
      <c r="I52" s="21" t="inlineStr"/>
      <c r="J52" s="21" t="inlineStr"/>
      <c r="K52" s="21" t="inlineStr"/>
      <c r="L52" s="21" t="inlineStr"/>
      <c r="M52" s="21" t="inlineStr"/>
      <c r="N52" s="21" t="inlineStr"/>
      <c r="O52" s="21" t="inlineStr"/>
      <c r="P52" s="21" t="inlineStr"/>
      <c r="Q52" s="21" t="inlineStr"/>
      <c r="R52" s="21" t="inlineStr"/>
    </row>
    <row r="54">
      <c r="A54" s="11" t="inlineStr">
        <is>
          <t>注意：availableDate 请尽量转为日期格式；unitsGr 与 profit 请保持为数字（百分比数值，如 15 代表 15%）；badge_newRelease 填 Y/N 或 Yes/No。</t>
        </is>
      </c>
    </row>
  </sheetData>
  <mergeCells count="2">
    <mergeCell ref="A54:R54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衍生指标（自动计算，基于 02 与 01）</t>
        </is>
      </c>
    </row>
    <row r="2">
      <c r="A2" s="20" t="inlineStr">
        <is>
          <t>asin</t>
        </is>
      </c>
      <c r="B2" s="20" t="inlineStr">
        <is>
          <t>上架天数</t>
        </is>
      </c>
      <c r="C2" s="20" t="inlineStr">
        <is>
          <t>是否在上架窗口</t>
        </is>
      </c>
      <c r="D2" s="20" t="inlineStr">
        <is>
          <t>价格带匹配</t>
        </is>
      </c>
      <c r="E2" s="20" t="inlineStr">
        <is>
          <t>毛利率达标</t>
        </is>
      </c>
      <c r="F2" s="20" t="inlineStr">
        <is>
          <t>评分数超限</t>
        </is>
      </c>
      <c r="G2" s="20" t="inlineStr">
        <is>
          <t>增长率达标</t>
        </is>
      </c>
      <c r="H2" s="20" t="inlineStr">
        <is>
          <t>是否自营</t>
        </is>
      </c>
      <c r="I2" s="20" t="inlineStr">
        <is>
          <t>池内销量排名</t>
        </is>
      </c>
      <c r="J2" s="20" t="inlineStr">
        <is>
          <t>低竞争原始分</t>
        </is>
      </c>
      <c r="K2" s="20" t="inlineStr">
        <is>
          <t>生命周期原始分</t>
        </is>
      </c>
      <c r="L2" s="20" t="inlineStr">
        <is>
          <t>利润健康原始分</t>
        </is>
      </c>
      <c r="M2" s="20" t="inlineStr">
        <is>
          <t>准入门槛原始分</t>
        </is>
      </c>
      <c r="N2" s="20" t="inlineStr">
        <is>
          <t>数据行号</t>
        </is>
      </c>
    </row>
    <row r="3">
      <c r="A3" s="22">
        <f>'02_ASIN原始数据'!A3</f>
        <v/>
      </c>
      <c r="B3" s="22">
        <f>IF('02_ASIN原始数据'!L3="","",IF(ISNUMBER('02_ASIN原始数据'!L3),TODAY()-'02_ASIN原始数据'!L3,""))</f>
        <v/>
      </c>
      <c r="C3" s="22">
        <f>IF(OR(A3="",B3=""),"",IF(B3&lt;='01_动态参数'!B15,1,0))</f>
        <v/>
      </c>
      <c r="D3" s="22">
        <f>IF(A3="","",IF(AND('02_ASIN原始数据'!D3&gt;='01_动态参数'!B10,'02_ASIN原始数据'!D3&lt;='01_动态参数'!B11),1,0))</f>
        <v/>
      </c>
      <c r="E3" s="22">
        <f>IF(A3="","",IF('02_ASIN原始数据'!N3&gt;='01_动态参数'!B12,1,0))</f>
        <v/>
      </c>
      <c r="F3" s="22">
        <f>IF(A3="","",IF('02_ASIN原始数据'!J3&gt;'01_动态参数'!B13,1,0))</f>
        <v/>
      </c>
      <c r="G3" s="22">
        <f>IF(A3="","",IF('02_ASIN原始数据'!F3&gt;='01_动态参数'!B14,1,0))</f>
        <v/>
      </c>
      <c r="H3" s="22">
        <f>IF(A3="","",IF('02_ASIN原始数据'!M3="AMZ",1,0))</f>
        <v/>
      </c>
      <c r="I3" s="22">
        <f>IF(A3="","",IF('02_ASIN原始数据'!E3="", "",RANK('02_ASIN原始数据'!E3,'02_ASIN原始数据'!$E$3:$E$52,0)))</f>
        <v/>
      </c>
      <c r="J3" s="22">
        <f>IF(A3="","",MIN(10,IF('02_ASIN原始数据'!J3&lt;=300,10,IF('02_ASIN原始数据'!J3&lt;=800,8,IF('02_ASIN原始数据'!J3&lt;=1500,5,IF('02_ASIN原始数据'!J3&lt;=3000,2,0))))+IF('02_ASIN原始数据'!P3&lt;=3,2,0)+IF(I3&lt;=10,1,0)))</f>
        <v/>
      </c>
      <c r="K3" s="22">
        <f>IF(A3="","",MIN(10,IF('02_ASIN原始数据'!F3&gt;=50,10,IF('02_ASIN原始数据'!F3&gt;=30,9,IF('02_ASIN原始数据'!F3&gt;=15,7,IF('02_ASIN原始数据'!F3&gt;=5,5,2))))+IF(C3=1,2,0)))</f>
        <v/>
      </c>
      <c r="L3" s="22">
        <f>IF(A3="","",IF(E3=0,0,IF(D3=1,8,3)+IF('02_ASIN原始数据'!N3&gt;='01_动态参数'!B12+10,2,IF('02_ASIN原始数据'!N3&gt;='01_动态参数'!B12,1,0))))</f>
        <v/>
      </c>
      <c r="M3" s="22">
        <f>IF(A3="","",MIN(10,IF('02_ASIN原始数据'!J3&lt;=500,10,IF('02_ASIN原始数据'!J3&lt;=1000,7,IF('02_ASIN原始数据'!J3&lt;=2000,4,1)))+IF(C3=1,2,0)+IF(OR('02_ASIN原始数据'!Q3="Y",'02_ASIN原始数据'!Q3="Yes",'02_ASIN原始数据'!Q3="YES"),1,0)))</f>
        <v/>
      </c>
      <c r="N3" s="22" t="n">
        <v>3</v>
      </c>
    </row>
    <row r="4">
      <c r="A4" s="22">
        <f>'02_ASIN原始数据'!A4</f>
        <v/>
      </c>
      <c r="B4" s="22">
        <f>IF('02_ASIN原始数据'!L4="","",IF(ISNUMBER('02_ASIN原始数据'!L4),TODAY()-'02_ASIN原始数据'!L4,""))</f>
        <v/>
      </c>
      <c r="C4" s="22">
        <f>IF(OR(A4="",B4=""),"",IF(B4&lt;='01_动态参数'!B15,1,0))</f>
        <v/>
      </c>
      <c r="D4" s="22">
        <f>IF(A4="","",IF(AND('02_ASIN原始数据'!D4&gt;='01_动态参数'!B10,'02_ASIN原始数据'!D4&lt;='01_动态参数'!B11),1,0))</f>
        <v/>
      </c>
      <c r="E4" s="22">
        <f>IF(A4="","",IF('02_ASIN原始数据'!N4&gt;='01_动态参数'!B12,1,0))</f>
        <v/>
      </c>
      <c r="F4" s="22">
        <f>IF(A4="","",IF('02_ASIN原始数据'!J4&gt;'01_动态参数'!B13,1,0))</f>
        <v/>
      </c>
      <c r="G4" s="22">
        <f>IF(A4="","",IF('02_ASIN原始数据'!F4&gt;='01_动态参数'!B14,1,0))</f>
        <v/>
      </c>
      <c r="H4" s="22">
        <f>IF(A4="","",IF('02_ASIN原始数据'!M4="AMZ",1,0))</f>
        <v/>
      </c>
      <c r="I4" s="22">
        <f>IF(A4="","",IF('02_ASIN原始数据'!E4="", "",RANK('02_ASIN原始数据'!E4,'02_ASIN原始数据'!$E$3:$E$52,0)))</f>
        <v/>
      </c>
      <c r="J4" s="22">
        <f>IF(A4="","",MIN(10,IF('02_ASIN原始数据'!J4&lt;=300,10,IF('02_ASIN原始数据'!J4&lt;=800,8,IF('02_ASIN原始数据'!J4&lt;=1500,5,IF('02_ASIN原始数据'!J4&lt;=3000,2,0))))+IF('02_ASIN原始数据'!P4&lt;=3,2,0)+IF(I4&lt;=10,1,0)))</f>
        <v/>
      </c>
      <c r="K4" s="22">
        <f>IF(A4="","",MIN(10,IF('02_ASIN原始数据'!F4&gt;=50,10,IF('02_ASIN原始数据'!F4&gt;=30,9,IF('02_ASIN原始数据'!F4&gt;=15,7,IF('02_ASIN原始数据'!F4&gt;=5,5,2))))+IF(C4=1,2,0)))</f>
        <v/>
      </c>
      <c r="L4" s="22">
        <f>IF(A4="","",IF(E4=0,0,IF(D4=1,8,3)+IF('02_ASIN原始数据'!N4&gt;='01_动态参数'!B12+10,2,IF('02_ASIN原始数据'!N4&gt;='01_动态参数'!B12,1,0))))</f>
        <v/>
      </c>
      <c r="M4" s="22">
        <f>IF(A4="","",MIN(10,IF('02_ASIN原始数据'!J4&lt;=500,10,IF('02_ASIN原始数据'!J4&lt;=1000,7,IF('02_ASIN原始数据'!J4&lt;=2000,4,1)))+IF(C4=1,2,0)+IF(OR('02_ASIN原始数据'!Q4="Y",'02_ASIN原始数据'!Q4="Yes",'02_ASIN原始数据'!Q4="YES"),1,0)))</f>
        <v/>
      </c>
      <c r="N4" s="22" t="n">
        <v>4</v>
      </c>
    </row>
    <row r="5">
      <c r="A5" s="22">
        <f>'02_ASIN原始数据'!A5</f>
        <v/>
      </c>
      <c r="B5" s="22">
        <f>IF('02_ASIN原始数据'!L5="","",IF(ISNUMBER('02_ASIN原始数据'!L5),TODAY()-'02_ASIN原始数据'!L5,""))</f>
        <v/>
      </c>
      <c r="C5" s="22">
        <f>IF(OR(A5="",B5=""),"",IF(B5&lt;='01_动态参数'!B15,1,0))</f>
        <v/>
      </c>
      <c r="D5" s="22">
        <f>IF(A5="","",IF(AND('02_ASIN原始数据'!D5&gt;='01_动态参数'!B10,'02_ASIN原始数据'!D5&lt;='01_动态参数'!B11),1,0))</f>
        <v/>
      </c>
      <c r="E5" s="22">
        <f>IF(A5="","",IF('02_ASIN原始数据'!N5&gt;='01_动态参数'!B12,1,0))</f>
        <v/>
      </c>
      <c r="F5" s="22">
        <f>IF(A5="","",IF('02_ASIN原始数据'!J5&gt;'01_动态参数'!B13,1,0))</f>
        <v/>
      </c>
      <c r="G5" s="22">
        <f>IF(A5="","",IF('02_ASIN原始数据'!F5&gt;='01_动态参数'!B14,1,0))</f>
        <v/>
      </c>
      <c r="H5" s="22">
        <f>IF(A5="","",IF('02_ASIN原始数据'!M5="AMZ",1,0))</f>
        <v/>
      </c>
      <c r="I5" s="22">
        <f>IF(A5="","",IF('02_ASIN原始数据'!E5="", "",RANK('02_ASIN原始数据'!E5,'02_ASIN原始数据'!$E$3:$E$52,0)))</f>
        <v/>
      </c>
      <c r="J5" s="22">
        <f>IF(A5="","",MIN(10,IF('02_ASIN原始数据'!J5&lt;=300,10,IF('02_ASIN原始数据'!J5&lt;=800,8,IF('02_ASIN原始数据'!J5&lt;=1500,5,IF('02_ASIN原始数据'!J5&lt;=3000,2,0))))+IF('02_ASIN原始数据'!P5&lt;=3,2,0)+IF(I5&lt;=10,1,0)))</f>
        <v/>
      </c>
      <c r="K5" s="22">
        <f>IF(A5="","",MIN(10,IF('02_ASIN原始数据'!F5&gt;=50,10,IF('02_ASIN原始数据'!F5&gt;=30,9,IF('02_ASIN原始数据'!F5&gt;=15,7,IF('02_ASIN原始数据'!F5&gt;=5,5,2))))+IF(C5=1,2,0)))</f>
        <v/>
      </c>
      <c r="L5" s="22">
        <f>IF(A5="","",IF(E5=0,0,IF(D5=1,8,3)+IF('02_ASIN原始数据'!N5&gt;='01_动态参数'!B12+10,2,IF('02_ASIN原始数据'!N5&gt;='01_动态参数'!B12,1,0))))</f>
        <v/>
      </c>
      <c r="M5" s="22">
        <f>IF(A5="","",MIN(10,IF('02_ASIN原始数据'!J5&lt;=500,10,IF('02_ASIN原始数据'!J5&lt;=1000,7,IF('02_ASIN原始数据'!J5&lt;=2000,4,1)))+IF(C5=1,2,0)+IF(OR('02_ASIN原始数据'!Q5="Y",'02_ASIN原始数据'!Q5="Yes",'02_ASIN原始数据'!Q5="YES"),1,0)))</f>
        <v/>
      </c>
      <c r="N5" s="22" t="n">
        <v>5</v>
      </c>
    </row>
    <row r="6">
      <c r="A6" s="22">
        <f>'02_ASIN原始数据'!A6</f>
        <v/>
      </c>
      <c r="B6" s="22">
        <f>IF('02_ASIN原始数据'!L6="","",IF(ISNUMBER('02_ASIN原始数据'!L6),TODAY()-'02_ASIN原始数据'!L6,""))</f>
        <v/>
      </c>
      <c r="C6" s="22">
        <f>IF(OR(A6="",B6=""),"",IF(B6&lt;='01_动态参数'!B15,1,0))</f>
        <v/>
      </c>
      <c r="D6" s="22">
        <f>IF(A6="","",IF(AND('02_ASIN原始数据'!D6&gt;='01_动态参数'!B10,'02_ASIN原始数据'!D6&lt;='01_动态参数'!B11),1,0))</f>
        <v/>
      </c>
      <c r="E6" s="22">
        <f>IF(A6="","",IF('02_ASIN原始数据'!N6&gt;='01_动态参数'!B12,1,0))</f>
        <v/>
      </c>
      <c r="F6" s="22">
        <f>IF(A6="","",IF('02_ASIN原始数据'!J6&gt;'01_动态参数'!B13,1,0))</f>
        <v/>
      </c>
      <c r="G6" s="22">
        <f>IF(A6="","",IF('02_ASIN原始数据'!F6&gt;='01_动态参数'!B14,1,0))</f>
        <v/>
      </c>
      <c r="H6" s="22">
        <f>IF(A6="","",IF('02_ASIN原始数据'!M6="AMZ",1,0))</f>
        <v/>
      </c>
      <c r="I6" s="22">
        <f>IF(A6="","",IF('02_ASIN原始数据'!E6="", "",RANK('02_ASIN原始数据'!E6,'02_ASIN原始数据'!$E$3:$E$52,0)))</f>
        <v/>
      </c>
      <c r="J6" s="22">
        <f>IF(A6="","",MIN(10,IF('02_ASIN原始数据'!J6&lt;=300,10,IF('02_ASIN原始数据'!J6&lt;=800,8,IF('02_ASIN原始数据'!J6&lt;=1500,5,IF('02_ASIN原始数据'!J6&lt;=3000,2,0))))+IF('02_ASIN原始数据'!P6&lt;=3,2,0)+IF(I6&lt;=10,1,0)))</f>
        <v/>
      </c>
      <c r="K6" s="22">
        <f>IF(A6="","",MIN(10,IF('02_ASIN原始数据'!F6&gt;=50,10,IF('02_ASIN原始数据'!F6&gt;=30,9,IF('02_ASIN原始数据'!F6&gt;=15,7,IF('02_ASIN原始数据'!F6&gt;=5,5,2))))+IF(C6=1,2,0)))</f>
        <v/>
      </c>
      <c r="L6" s="22">
        <f>IF(A6="","",IF(E6=0,0,IF(D6=1,8,3)+IF('02_ASIN原始数据'!N6&gt;='01_动态参数'!B12+10,2,IF('02_ASIN原始数据'!N6&gt;='01_动态参数'!B12,1,0))))</f>
        <v/>
      </c>
      <c r="M6" s="22">
        <f>IF(A6="","",MIN(10,IF('02_ASIN原始数据'!J6&lt;=500,10,IF('02_ASIN原始数据'!J6&lt;=1000,7,IF('02_ASIN原始数据'!J6&lt;=2000,4,1)))+IF(C6=1,2,0)+IF(OR('02_ASIN原始数据'!Q6="Y",'02_ASIN原始数据'!Q6="Yes",'02_ASIN原始数据'!Q6="YES"),1,0)))</f>
        <v/>
      </c>
      <c r="N6" s="22" t="n">
        <v>6</v>
      </c>
    </row>
    <row r="7">
      <c r="A7" s="22">
        <f>'02_ASIN原始数据'!A7</f>
        <v/>
      </c>
      <c r="B7" s="22">
        <f>IF('02_ASIN原始数据'!L7="","",IF(ISNUMBER('02_ASIN原始数据'!L7),TODAY()-'02_ASIN原始数据'!L7,""))</f>
        <v/>
      </c>
      <c r="C7" s="22">
        <f>IF(OR(A7="",B7=""),"",IF(B7&lt;='01_动态参数'!B15,1,0))</f>
        <v/>
      </c>
      <c r="D7" s="22">
        <f>IF(A7="","",IF(AND('02_ASIN原始数据'!D7&gt;='01_动态参数'!B10,'02_ASIN原始数据'!D7&lt;='01_动态参数'!B11),1,0))</f>
        <v/>
      </c>
      <c r="E7" s="22">
        <f>IF(A7="","",IF('02_ASIN原始数据'!N7&gt;='01_动态参数'!B12,1,0))</f>
        <v/>
      </c>
      <c r="F7" s="22">
        <f>IF(A7="","",IF('02_ASIN原始数据'!J7&gt;'01_动态参数'!B13,1,0))</f>
        <v/>
      </c>
      <c r="G7" s="22">
        <f>IF(A7="","",IF('02_ASIN原始数据'!F7&gt;='01_动态参数'!B14,1,0))</f>
        <v/>
      </c>
      <c r="H7" s="22">
        <f>IF(A7="","",IF('02_ASIN原始数据'!M7="AMZ",1,0))</f>
        <v/>
      </c>
      <c r="I7" s="22">
        <f>IF(A7="","",IF('02_ASIN原始数据'!E7="", "",RANK('02_ASIN原始数据'!E7,'02_ASIN原始数据'!$E$3:$E$52,0)))</f>
        <v/>
      </c>
      <c r="J7" s="22">
        <f>IF(A7="","",MIN(10,IF('02_ASIN原始数据'!J7&lt;=300,10,IF('02_ASIN原始数据'!J7&lt;=800,8,IF('02_ASIN原始数据'!J7&lt;=1500,5,IF('02_ASIN原始数据'!J7&lt;=3000,2,0))))+IF('02_ASIN原始数据'!P7&lt;=3,2,0)+IF(I7&lt;=10,1,0)))</f>
        <v/>
      </c>
      <c r="K7" s="22">
        <f>IF(A7="","",MIN(10,IF('02_ASIN原始数据'!F7&gt;=50,10,IF('02_ASIN原始数据'!F7&gt;=30,9,IF('02_ASIN原始数据'!F7&gt;=15,7,IF('02_ASIN原始数据'!F7&gt;=5,5,2))))+IF(C7=1,2,0)))</f>
        <v/>
      </c>
      <c r="L7" s="22">
        <f>IF(A7="","",IF(E7=0,0,IF(D7=1,8,3)+IF('02_ASIN原始数据'!N7&gt;='01_动态参数'!B12+10,2,IF('02_ASIN原始数据'!N7&gt;='01_动态参数'!B12,1,0))))</f>
        <v/>
      </c>
      <c r="M7" s="22">
        <f>IF(A7="","",MIN(10,IF('02_ASIN原始数据'!J7&lt;=500,10,IF('02_ASIN原始数据'!J7&lt;=1000,7,IF('02_ASIN原始数据'!J7&lt;=2000,4,1)))+IF(C7=1,2,0)+IF(OR('02_ASIN原始数据'!Q7="Y",'02_ASIN原始数据'!Q7="Yes",'02_ASIN原始数据'!Q7="YES"),1,0)))</f>
        <v/>
      </c>
      <c r="N7" s="22" t="n">
        <v>7</v>
      </c>
    </row>
    <row r="8">
      <c r="A8" s="22">
        <f>'02_ASIN原始数据'!A8</f>
        <v/>
      </c>
      <c r="B8" s="22">
        <f>IF('02_ASIN原始数据'!L8="","",IF(ISNUMBER('02_ASIN原始数据'!L8),TODAY()-'02_ASIN原始数据'!L8,""))</f>
        <v/>
      </c>
      <c r="C8" s="22">
        <f>IF(OR(A8="",B8=""),"",IF(B8&lt;='01_动态参数'!B15,1,0))</f>
        <v/>
      </c>
      <c r="D8" s="22">
        <f>IF(A8="","",IF(AND('02_ASIN原始数据'!D8&gt;='01_动态参数'!B10,'02_ASIN原始数据'!D8&lt;='01_动态参数'!B11),1,0))</f>
        <v/>
      </c>
      <c r="E8" s="22">
        <f>IF(A8="","",IF('02_ASIN原始数据'!N8&gt;='01_动态参数'!B12,1,0))</f>
        <v/>
      </c>
      <c r="F8" s="22">
        <f>IF(A8="","",IF('02_ASIN原始数据'!J8&gt;'01_动态参数'!B13,1,0))</f>
        <v/>
      </c>
      <c r="G8" s="22">
        <f>IF(A8="","",IF('02_ASIN原始数据'!F8&gt;='01_动态参数'!B14,1,0))</f>
        <v/>
      </c>
      <c r="H8" s="22">
        <f>IF(A8="","",IF('02_ASIN原始数据'!M8="AMZ",1,0))</f>
        <v/>
      </c>
      <c r="I8" s="22">
        <f>IF(A8="","",IF('02_ASIN原始数据'!E8="", "",RANK('02_ASIN原始数据'!E8,'02_ASIN原始数据'!$E$3:$E$52,0)))</f>
        <v/>
      </c>
      <c r="J8" s="22">
        <f>IF(A8="","",MIN(10,IF('02_ASIN原始数据'!J8&lt;=300,10,IF('02_ASIN原始数据'!J8&lt;=800,8,IF('02_ASIN原始数据'!J8&lt;=1500,5,IF('02_ASIN原始数据'!J8&lt;=3000,2,0))))+IF('02_ASIN原始数据'!P8&lt;=3,2,0)+IF(I8&lt;=10,1,0)))</f>
        <v/>
      </c>
      <c r="K8" s="22">
        <f>IF(A8="","",MIN(10,IF('02_ASIN原始数据'!F8&gt;=50,10,IF('02_ASIN原始数据'!F8&gt;=30,9,IF('02_ASIN原始数据'!F8&gt;=15,7,IF('02_ASIN原始数据'!F8&gt;=5,5,2))))+IF(C8=1,2,0)))</f>
        <v/>
      </c>
      <c r="L8" s="22">
        <f>IF(A8="","",IF(E8=0,0,IF(D8=1,8,3)+IF('02_ASIN原始数据'!N8&gt;='01_动态参数'!B12+10,2,IF('02_ASIN原始数据'!N8&gt;='01_动态参数'!B12,1,0))))</f>
        <v/>
      </c>
      <c r="M8" s="22">
        <f>IF(A8="","",MIN(10,IF('02_ASIN原始数据'!J8&lt;=500,10,IF('02_ASIN原始数据'!J8&lt;=1000,7,IF('02_ASIN原始数据'!J8&lt;=2000,4,1)))+IF(C8=1,2,0)+IF(OR('02_ASIN原始数据'!Q8="Y",'02_ASIN原始数据'!Q8="Yes",'02_ASIN原始数据'!Q8="YES"),1,0)))</f>
        <v/>
      </c>
      <c r="N8" s="22" t="n">
        <v>8</v>
      </c>
    </row>
    <row r="9">
      <c r="A9" s="22">
        <f>'02_ASIN原始数据'!A9</f>
        <v/>
      </c>
      <c r="B9" s="22">
        <f>IF('02_ASIN原始数据'!L9="","",IF(ISNUMBER('02_ASIN原始数据'!L9),TODAY()-'02_ASIN原始数据'!L9,""))</f>
        <v/>
      </c>
      <c r="C9" s="22">
        <f>IF(OR(A9="",B9=""),"",IF(B9&lt;='01_动态参数'!B15,1,0))</f>
        <v/>
      </c>
      <c r="D9" s="22">
        <f>IF(A9="","",IF(AND('02_ASIN原始数据'!D9&gt;='01_动态参数'!B10,'02_ASIN原始数据'!D9&lt;='01_动态参数'!B11),1,0))</f>
        <v/>
      </c>
      <c r="E9" s="22">
        <f>IF(A9="","",IF('02_ASIN原始数据'!N9&gt;='01_动态参数'!B12,1,0))</f>
        <v/>
      </c>
      <c r="F9" s="22">
        <f>IF(A9="","",IF('02_ASIN原始数据'!J9&gt;'01_动态参数'!B13,1,0))</f>
        <v/>
      </c>
      <c r="G9" s="22">
        <f>IF(A9="","",IF('02_ASIN原始数据'!F9&gt;='01_动态参数'!B14,1,0))</f>
        <v/>
      </c>
      <c r="H9" s="22">
        <f>IF(A9="","",IF('02_ASIN原始数据'!M9="AMZ",1,0))</f>
        <v/>
      </c>
      <c r="I9" s="22">
        <f>IF(A9="","",IF('02_ASIN原始数据'!E9="", "",RANK('02_ASIN原始数据'!E9,'02_ASIN原始数据'!$E$3:$E$52,0)))</f>
        <v/>
      </c>
      <c r="J9" s="22">
        <f>IF(A9="","",MIN(10,IF('02_ASIN原始数据'!J9&lt;=300,10,IF('02_ASIN原始数据'!J9&lt;=800,8,IF('02_ASIN原始数据'!J9&lt;=1500,5,IF('02_ASIN原始数据'!J9&lt;=3000,2,0))))+IF('02_ASIN原始数据'!P9&lt;=3,2,0)+IF(I9&lt;=10,1,0)))</f>
        <v/>
      </c>
      <c r="K9" s="22">
        <f>IF(A9="","",MIN(10,IF('02_ASIN原始数据'!F9&gt;=50,10,IF('02_ASIN原始数据'!F9&gt;=30,9,IF('02_ASIN原始数据'!F9&gt;=15,7,IF('02_ASIN原始数据'!F9&gt;=5,5,2))))+IF(C9=1,2,0)))</f>
        <v/>
      </c>
      <c r="L9" s="22">
        <f>IF(A9="","",IF(E9=0,0,IF(D9=1,8,3)+IF('02_ASIN原始数据'!N9&gt;='01_动态参数'!B12+10,2,IF('02_ASIN原始数据'!N9&gt;='01_动态参数'!B12,1,0))))</f>
        <v/>
      </c>
      <c r="M9" s="22">
        <f>IF(A9="","",MIN(10,IF('02_ASIN原始数据'!J9&lt;=500,10,IF('02_ASIN原始数据'!J9&lt;=1000,7,IF('02_ASIN原始数据'!J9&lt;=2000,4,1)))+IF(C9=1,2,0)+IF(OR('02_ASIN原始数据'!Q9="Y",'02_ASIN原始数据'!Q9="Yes",'02_ASIN原始数据'!Q9="YES"),1,0)))</f>
        <v/>
      </c>
      <c r="N9" s="22" t="n">
        <v>9</v>
      </c>
    </row>
    <row r="10">
      <c r="A10" s="22">
        <f>'02_ASIN原始数据'!A10</f>
        <v/>
      </c>
      <c r="B10" s="22">
        <f>IF('02_ASIN原始数据'!L10="","",IF(ISNUMBER('02_ASIN原始数据'!L10),TODAY()-'02_ASIN原始数据'!L10,""))</f>
        <v/>
      </c>
      <c r="C10" s="22">
        <f>IF(OR(A10="",B10=""),"",IF(B10&lt;='01_动态参数'!B15,1,0))</f>
        <v/>
      </c>
      <c r="D10" s="22">
        <f>IF(A10="","",IF(AND('02_ASIN原始数据'!D10&gt;='01_动态参数'!B10,'02_ASIN原始数据'!D10&lt;='01_动态参数'!B11),1,0))</f>
        <v/>
      </c>
      <c r="E10" s="22">
        <f>IF(A10="","",IF('02_ASIN原始数据'!N10&gt;='01_动态参数'!B12,1,0))</f>
        <v/>
      </c>
      <c r="F10" s="22">
        <f>IF(A10="","",IF('02_ASIN原始数据'!J10&gt;'01_动态参数'!B13,1,0))</f>
        <v/>
      </c>
      <c r="G10" s="22">
        <f>IF(A10="","",IF('02_ASIN原始数据'!F10&gt;='01_动态参数'!B14,1,0))</f>
        <v/>
      </c>
      <c r="H10" s="22">
        <f>IF(A10="","",IF('02_ASIN原始数据'!M10="AMZ",1,0))</f>
        <v/>
      </c>
      <c r="I10" s="22">
        <f>IF(A10="","",IF('02_ASIN原始数据'!E10="", "",RANK('02_ASIN原始数据'!E10,'02_ASIN原始数据'!$E$3:$E$52,0)))</f>
        <v/>
      </c>
      <c r="J10" s="22">
        <f>IF(A10="","",MIN(10,IF('02_ASIN原始数据'!J10&lt;=300,10,IF('02_ASIN原始数据'!J10&lt;=800,8,IF('02_ASIN原始数据'!J10&lt;=1500,5,IF('02_ASIN原始数据'!J10&lt;=3000,2,0))))+IF('02_ASIN原始数据'!P10&lt;=3,2,0)+IF(I10&lt;=10,1,0)))</f>
        <v/>
      </c>
      <c r="K10" s="22">
        <f>IF(A10="","",MIN(10,IF('02_ASIN原始数据'!F10&gt;=50,10,IF('02_ASIN原始数据'!F10&gt;=30,9,IF('02_ASIN原始数据'!F10&gt;=15,7,IF('02_ASIN原始数据'!F10&gt;=5,5,2))))+IF(C10=1,2,0)))</f>
        <v/>
      </c>
      <c r="L10" s="22">
        <f>IF(A10="","",IF(E10=0,0,IF(D10=1,8,3)+IF('02_ASIN原始数据'!N10&gt;='01_动态参数'!B12+10,2,IF('02_ASIN原始数据'!N10&gt;='01_动态参数'!B12,1,0))))</f>
        <v/>
      </c>
      <c r="M10" s="22">
        <f>IF(A10="","",MIN(10,IF('02_ASIN原始数据'!J10&lt;=500,10,IF('02_ASIN原始数据'!J10&lt;=1000,7,IF('02_ASIN原始数据'!J10&lt;=2000,4,1)))+IF(C10=1,2,0)+IF(OR('02_ASIN原始数据'!Q10="Y",'02_ASIN原始数据'!Q10="Yes",'02_ASIN原始数据'!Q10="YES"),1,0)))</f>
        <v/>
      </c>
      <c r="N10" s="22" t="n">
        <v>10</v>
      </c>
    </row>
    <row r="11">
      <c r="A11" s="22">
        <f>'02_ASIN原始数据'!A11</f>
        <v/>
      </c>
      <c r="B11" s="22">
        <f>IF('02_ASIN原始数据'!L11="","",IF(ISNUMBER('02_ASIN原始数据'!L11),TODAY()-'02_ASIN原始数据'!L11,""))</f>
        <v/>
      </c>
      <c r="C11" s="22">
        <f>IF(OR(A11="",B11=""),"",IF(B11&lt;='01_动态参数'!B15,1,0))</f>
        <v/>
      </c>
      <c r="D11" s="22">
        <f>IF(A11="","",IF(AND('02_ASIN原始数据'!D11&gt;='01_动态参数'!B10,'02_ASIN原始数据'!D11&lt;='01_动态参数'!B11),1,0))</f>
        <v/>
      </c>
      <c r="E11" s="22">
        <f>IF(A11="","",IF('02_ASIN原始数据'!N11&gt;='01_动态参数'!B12,1,0))</f>
        <v/>
      </c>
      <c r="F11" s="22">
        <f>IF(A11="","",IF('02_ASIN原始数据'!J11&gt;'01_动态参数'!B13,1,0))</f>
        <v/>
      </c>
      <c r="G11" s="22">
        <f>IF(A11="","",IF('02_ASIN原始数据'!F11&gt;='01_动态参数'!B14,1,0))</f>
        <v/>
      </c>
      <c r="H11" s="22">
        <f>IF(A11="","",IF('02_ASIN原始数据'!M11="AMZ",1,0))</f>
        <v/>
      </c>
      <c r="I11" s="22">
        <f>IF(A11="","",IF('02_ASIN原始数据'!E11="", "",RANK('02_ASIN原始数据'!E11,'02_ASIN原始数据'!$E$3:$E$52,0)))</f>
        <v/>
      </c>
      <c r="J11" s="22">
        <f>IF(A11="","",MIN(10,IF('02_ASIN原始数据'!J11&lt;=300,10,IF('02_ASIN原始数据'!J11&lt;=800,8,IF('02_ASIN原始数据'!J11&lt;=1500,5,IF('02_ASIN原始数据'!J11&lt;=3000,2,0))))+IF('02_ASIN原始数据'!P11&lt;=3,2,0)+IF(I11&lt;=10,1,0)))</f>
        <v/>
      </c>
      <c r="K11" s="22">
        <f>IF(A11="","",MIN(10,IF('02_ASIN原始数据'!F11&gt;=50,10,IF('02_ASIN原始数据'!F11&gt;=30,9,IF('02_ASIN原始数据'!F11&gt;=15,7,IF('02_ASIN原始数据'!F11&gt;=5,5,2))))+IF(C11=1,2,0)))</f>
        <v/>
      </c>
      <c r="L11" s="22">
        <f>IF(A11="","",IF(E11=0,0,IF(D11=1,8,3)+IF('02_ASIN原始数据'!N11&gt;='01_动态参数'!B12+10,2,IF('02_ASIN原始数据'!N11&gt;='01_动态参数'!B12,1,0))))</f>
        <v/>
      </c>
      <c r="M11" s="22">
        <f>IF(A11="","",MIN(10,IF('02_ASIN原始数据'!J11&lt;=500,10,IF('02_ASIN原始数据'!J11&lt;=1000,7,IF('02_ASIN原始数据'!J11&lt;=2000,4,1)))+IF(C11=1,2,0)+IF(OR('02_ASIN原始数据'!Q11="Y",'02_ASIN原始数据'!Q11="Yes",'02_ASIN原始数据'!Q11="YES"),1,0)))</f>
        <v/>
      </c>
      <c r="N11" s="22" t="n">
        <v>11</v>
      </c>
    </row>
    <row r="12">
      <c r="A12" s="22">
        <f>'02_ASIN原始数据'!A12</f>
        <v/>
      </c>
      <c r="B12" s="22">
        <f>IF('02_ASIN原始数据'!L12="","",IF(ISNUMBER('02_ASIN原始数据'!L12),TODAY()-'02_ASIN原始数据'!L12,""))</f>
        <v/>
      </c>
      <c r="C12" s="22">
        <f>IF(OR(A12="",B12=""),"",IF(B12&lt;='01_动态参数'!B15,1,0))</f>
        <v/>
      </c>
      <c r="D12" s="22">
        <f>IF(A12="","",IF(AND('02_ASIN原始数据'!D12&gt;='01_动态参数'!B10,'02_ASIN原始数据'!D12&lt;='01_动态参数'!B11),1,0))</f>
        <v/>
      </c>
      <c r="E12" s="22">
        <f>IF(A12="","",IF('02_ASIN原始数据'!N12&gt;='01_动态参数'!B12,1,0))</f>
        <v/>
      </c>
      <c r="F12" s="22">
        <f>IF(A12="","",IF('02_ASIN原始数据'!J12&gt;'01_动态参数'!B13,1,0))</f>
        <v/>
      </c>
      <c r="G12" s="22">
        <f>IF(A12="","",IF('02_ASIN原始数据'!F12&gt;='01_动态参数'!B14,1,0))</f>
        <v/>
      </c>
      <c r="H12" s="22">
        <f>IF(A12="","",IF('02_ASIN原始数据'!M12="AMZ",1,0))</f>
        <v/>
      </c>
      <c r="I12" s="22">
        <f>IF(A12="","",IF('02_ASIN原始数据'!E12="", "",RANK('02_ASIN原始数据'!E12,'02_ASIN原始数据'!$E$3:$E$52,0)))</f>
        <v/>
      </c>
      <c r="J12" s="22">
        <f>IF(A12="","",MIN(10,IF('02_ASIN原始数据'!J12&lt;=300,10,IF('02_ASIN原始数据'!J12&lt;=800,8,IF('02_ASIN原始数据'!J12&lt;=1500,5,IF('02_ASIN原始数据'!J12&lt;=3000,2,0))))+IF('02_ASIN原始数据'!P12&lt;=3,2,0)+IF(I12&lt;=10,1,0)))</f>
        <v/>
      </c>
      <c r="K12" s="22">
        <f>IF(A12="","",MIN(10,IF('02_ASIN原始数据'!F12&gt;=50,10,IF('02_ASIN原始数据'!F12&gt;=30,9,IF('02_ASIN原始数据'!F12&gt;=15,7,IF('02_ASIN原始数据'!F12&gt;=5,5,2))))+IF(C12=1,2,0)))</f>
        <v/>
      </c>
      <c r="L12" s="22">
        <f>IF(A12="","",IF(E12=0,0,IF(D12=1,8,3)+IF('02_ASIN原始数据'!N12&gt;='01_动态参数'!B12+10,2,IF('02_ASIN原始数据'!N12&gt;='01_动态参数'!B12,1,0))))</f>
        <v/>
      </c>
      <c r="M12" s="22">
        <f>IF(A12="","",MIN(10,IF('02_ASIN原始数据'!J12&lt;=500,10,IF('02_ASIN原始数据'!J12&lt;=1000,7,IF('02_ASIN原始数据'!J12&lt;=2000,4,1)))+IF(C12=1,2,0)+IF(OR('02_ASIN原始数据'!Q12="Y",'02_ASIN原始数据'!Q12="Yes",'02_ASIN原始数据'!Q12="YES"),1,0)))</f>
        <v/>
      </c>
      <c r="N12" s="22" t="n">
        <v>12</v>
      </c>
    </row>
    <row r="13">
      <c r="A13" s="22">
        <f>'02_ASIN原始数据'!A13</f>
        <v/>
      </c>
      <c r="B13" s="22">
        <f>IF('02_ASIN原始数据'!L13="","",IF(ISNUMBER('02_ASIN原始数据'!L13),TODAY()-'02_ASIN原始数据'!L13,""))</f>
        <v/>
      </c>
      <c r="C13" s="22">
        <f>IF(OR(A13="",B13=""),"",IF(B13&lt;='01_动态参数'!B15,1,0))</f>
        <v/>
      </c>
      <c r="D13" s="22">
        <f>IF(A13="","",IF(AND('02_ASIN原始数据'!D13&gt;='01_动态参数'!B10,'02_ASIN原始数据'!D13&lt;='01_动态参数'!B11),1,0))</f>
        <v/>
      </c>
      <c r="E13" s="22">
        <f>IF(A13="","",IF('02_ASIN原始数据'!N13&gt;='01_动态参数'!B12,1,0))</f>
        <v/>
      </c>
      <c r="F13" s="22">
        <f>IF(A13="","",IF('02_ASIN原始数据'!J13&gt;'01_动态参数'!B13,1,0))</f>
        <v/>
      </c>
      <c r="G13" s="22">
        <f>IF(A13="","",IF('02_ASIN原始数据'!F13&gt;='01_动态参数'!B14,1,0))</f>
        <v/>
      </c>
      <c r="H13" s="22">
        <f>IF(A13="","",IF('02_ASIN原始数据'!M13="AMZ",1,0))</f>
        <v/>
      </c>
      <c r="I13" s="22">
        <f>IF(A13="","",IF('02_ASIN原始数据'!E13="", "",RANK('02_ASIN原始数据'!E13,'02_ASIN原始数据'!$E$3:$E$52,0)))</f>
        <v/>
      </c>
      <c r="J13" s="22">
        <f>IF(A13="","",MIN(10,IF('02_ASIN原始数据'!J13&lt;=300,10,IF('02_ASIN原始数据'!J13&lt;=800,8,IF('02_ASIN原始数据'!J13&lt;=1500,5,IF('02_ASIN原始数据'!J13&lt;=3000,2,0))))+IF('02_ASIN原始数据'!P13&lt;=3,2,0)+IF(I13&lt;=10,1,0)))</f>
        <v/>
      </c>
      <c r="K13" s="22">
        <f>IF(A13="","",MIN(10,IF('02_ASIN原始数据'!F13&gt;=50,10,IF('02_ASIN原始数据'!F13&gt;=30,9,IF('02_ASIN原始数据'!F13&gt;=15,7,IF('02_ASIN原始数据'!F13&gt;=5,5,2))))+IF(C13=1,2,0)))</f>
        <v/>
      </c>
      <c r="L13" s="22">
        <f>IF(A13="","",IF(E13=0,0,IF(D13=1,8,3)+IF('02_ASIN原始数据'!N13&gt;='01_动态参数'!B12+10,2,IF('02_ASIN原始数据'!N13&gt;='01_动态参数'!B12,1,0))))</f>
        <v/>
      </c>
      <c r="M13" s="22">
        <f>IF(A13="","",MIN(10,IF('02_ASIN原始数据'!J13&lt;=500,10,IF('02_ASIN原始数据'!J13&lt;=1000,7,IF('02_ASIN原始数据'!J13&lt;=2000,4,1)))+IF(C13=1,2,0)+IF(OR('02_ASIN原始数据'!Q13="Y",'02_ASIN原始数据'!Q13="Yes",'02_ASIN原始数据'!Q13="YES"),1,0)))</f>
        <v/>
      </c>
      <c r="N13" s="22" t="n">
        <v>13</v>
      </c>
    </row>
    <row r="14">
      <c r="A14" s="22">
        <f>'02_ASIN原始数据'!A14</f>
        <v/>
      </c>
      <c r="B14" s="22">
        <f>IF('02_ASIN原始数据'!L14="","",IF(ISNUMBER('02_ASIN原始数据'!L14),TODAY()-'02_ASIN原始数据'!L14,""))</f>
        <v/>
      </c>
      <c r="C14" s="22">
        <f>IF(OR(A14="",B14=""),"",IF(B14&lt;='01_动态参数'!B15,1,0))</f>
        <v/>
      </c>
      <c r="D14" s="22">
        <f>IF(A14="","",IF(AND('02_ASIN原始数据'!D14&gt;='01_动态参数'!B10,'02_ASIN原始数据'!D14&lt;='01_动态参数'!B11),1,0))</f>
        <v/>
      </c>
      <c r="E14" s="22">
        <f>IF(A14="","",IF('02_ASIN原始数据'!N14&gt;='01_动态参数'!B12,1,0))</f>
        <v/>
      </c>
      <c r="F14" s="22">
        <f>IF(A14="","",IF('02_ASIN原始数据'!J14&gt;'01_动态参数'!B13,1,0))</f>
        <v/>
      </c>
      <c r="G14" s="22">
        <f>IF(A14="","",IF('02_ASIN原始数据'!F14&gt;='01_动态参数'!B14,1,0))</f>
        <v/>
      </c>
      <c r="H14" s="22">
        <f>IF(A14="","",IF('02_ASIN原始数据'!M14="AMZ",1,0))</f>
        <v/>
      </c>
      <c r="I14" s="22">
        <f>IF(A14="","",IF('02_ASIN原始数据'!E14="", "",RANK('02_ASIN原始数据'!E14,'02_ASIN原始数据'!$E$3:$E$52,0)))</f>
        <v/>
      </c>
      <c r="J14" s="22">
        <f>IF(A14="","",MIN(10,IF('02_ASIN原始数据'!J14&lt;=300,10,IF('02_ASIN原始数据'!J14&lt;=800,8,IF('02_ASIN原始数据'!J14&lt;=1500,5,IF('02_ASIN原始数据'!J14&lt;=3000,2,0))))+IF('02_ASIN原始数据'!P14&lt;=3,2,0)+IF(I14&lt;=10,1,0)))</f>
        <v/>
      </c>
      <c r="K14" s="22">
        <f>IF(A14="","",MIN(10,IF('02_ASIN原始数据'!F14&gt;=50,10,IF('02_ASIN原始数据'!F14&gt;=30,9,IF('02_ASIN原始数据'!F14&gt;=15,7,IF('02_ASIN原始数据'!F14&gt;=5,5,2))))+IF(C14=1,2,0)))</f>
        <v/>
      </c>
      <c r="L14" s="22">
        <f>IF(A14="","",IF(E14=0,0,IF(D14=1,8,3)+IF('02_ASIN原始数据'!N14&gt;='01_动态参数'!B12+10,2,IF('02_ASIN原始数据'!N14&gt;='01_动态参数'!B12,1,0))))</f>
        <v/>
      </c>
      <c r="M14" s="22">
        <f>IF(A14="","",MIN(10,IF('02_ASIN原始数据'!J14&lt;=500,10,IF('02_ASIN原始数据'!J14&lt;=1000,7,IF('02_ASIN原始数据'!J14&lt;=2000,4,1)))+IF(C14=1,2,0)+IF(OR('02_ASIN原始数据'!Q14="Y",'02_ASIN原始数据'!Q14="Yes",'02_ASIN原始数据'!Q14="YES"),1,0)))</f>
        <v/>
      </c>
      <c r="N14" s="22" t="n">
        <v>14</v>
      </c>
    </row>
    <row r="15">
      <c r="A15" s="22">
        <f>'02_ASIN原始数据'!A15</f>
        <v/>
      </c>
      <c r="B15" s="22">
        <f>IF('02_ASIN原始数据'!L15="","",IF(ISNUMBER('02_ASIN原始数据'!L15),TODAY()-'02_ASIN原始数据'!L15,""))</f>
        <v/>
      </c>
      <c r="C15" s="22">
        <f>IF(OR(A15="",B15=""),"",IF(B15&lt;='01_动态参数'!B15,1,0))</f>
        <v/>
      </c>
      <c r="D15" s="22">
        <f>IF(A15="","",IF(AND('02_ASIN原始数据'!D15&gt;='01_动态参数'!B10,'02_ASIN原始数据'!D15&lt;='01_动态参数'!B11),1,0))</f>
        <v/>
      </c>
      <c r="E15" s="22">
        <f>IF(A15="","",IF('02_ASIN原始数据'!N15&gt;='01_动态参数'!B12,1,0))</f>
        <v/>
      </c>
      <c r="F15" s="22">
        <f>IF(A15="","",IF('02_ASIN原始数据'!J15&gt;'01_动态参数'!B13,1,0))</f>
        <v/>
      </c>
      <c r="G15" s="22">
        <f>IF(A15="","",IF('02_ASIN原始数据'!F15&gt;='01_动态参数'!B14,1,0))</f>
        <v/>
      </c>
      <c r="H15" s="22">
        <f>IF(A15="","",IF('02_ASIN原始数据'!M15="AMZ",1,0))</f>
        <v/>
      </c>
      <c r="I15" s="22">
        <f>IF(A15="","",IF('02_ASIN原始数据'!E15="", "",RANK('02_ASIN原始数据'!E15,'02_ASIN原始数据'!$E$3:$E$52,0)))</f>
        <v/>
      </c>
      <c r="J15" s="22">
        <f>IF(A15="","",MIN(10,IF('02_ASIN原始数据'!J15&lt;=300,10,IF('02_ASIN原始数据'!J15&lt;=800,8,IF('02_ASIN原始数据'!J15&lt;=1500,5,IF('02_ASIN原始数据'!J15&lt;=3000,2,0))))+IF('02_ASIN原始数据'!P15&lt;=3,2,0)+IF(I15&lt;=10,1,0)))</f>
        <v/>
      </c>
      <c r="K15" s="22">
        <f>IF(A15="","",MIN(10,IF('02_ASIN原始数据'!F15&gt;=50,10,IF('02_ASIN原始数据'!F15&gt;=30,9,IF('02_ASIN原始数据'!F15&gt;=15,7,IF('02_ASIN原始数据'!F15&gt;=5,5,2))))+IF(C15=1,2,0)))</f>
        <v/>
      </c>
      <c r="L15" s="22">
        <f>IF(A15="","",IF(E15=0,0,IF(D15=1,8,3)+IF('02_ASIN原始数据'!N15&gt;='01_动态参数'!B12+10,2,IF('02_ASIN原始数据'!N15&gt;='01_动态参数'!B12,1,0))))</f>
        <v/>
      </c>
      <c r="M15" s="22">
        <f>IF(A15="","",MIN(10,IF('02_ASIN原始数据'!J15&lt;=500,10,IF('02_ASIN原始数据'!J15&lt;=1000,7,IF('02_ASIN原始数据'!J15&lt;=2000,4,1)))+IF(C15=1,2,0)+IF(OR('02_ASIN原始数据'!Q15="Y",'02_ASIN原始数据'!Q15="Yes",'02_ASIN原始数据'!Q15="YES"),1,0)))</f>
        <v/>
      </c>
      <c r="N15" s="22" t="n">
        <v>15</v>
      </c>
    </row>
    <row r="16">
      <c r="A16" s="22">
        <f>'02_ASIN原始数据'!A16</f>
        <v/>
      </c>
      <c r="B16" s="22">
        <f>IF('02_ASIN原始数据'!L16="","",IF(ISNUMBER('02_ASIN原始数据'!L16),TODAY()-'02_ASIN原始数据'!L16,""))</f>
        <v/>
      </c>
      <c r="C16" s="22">
        <f>IF(OR(A16="",B16=""),"",IF(B16&lt;='01_动态参数'!B15,1,0))</f>
        <v/>
      </c>
      <c r="D16" s="22">
        <f>IF(A16="","",IF(AND('02_ASIN原始数据'!D16&gt;='01_动态参数'!B10,'02_ASIN原始数据'!D16&lt;='01_动态参数'!B11),1,0))</f>
        <v/>
      </c>
      <c r="E16" s="22">
        <f>IF(A16="","",IF('02_ASIN原始数据'!N16&gt;='01_动态参数'!B12,1,0))</f>
        <v/>
      </c>
      <c r="F16" s="22">
        <f>IF(A16="","",IF('02_ASIN原始数据'!J16&gt;'01_动态参数'!B13,1,0))</f>
        <v/>
      </c>
      <c r="G16" s="22">
        <f>IF(A16="","",IF('02_ASIN原始数据'!F16&gt;='01_动态参数'!B14,1,0))</f>
        <v/>
      </c>
      <c r="H16" s="22">
        <f>IF(A16="","",IF('02_ASIN原始数据'!M16="AMZ",1,0))</f>
        <v/>
      </c>
      <c r="I16" s="22">
        <f>IF(A16="","",IF('02_ASIN原始数据'!E16="", "",RANK('02_ASIN原始数据'!E16,'02_ASIN原始数据'!$E$3:$E$52,0)))</f>
        <v/>
      </c>
      <c r="J16" s="22">
        <f>IF(A16="","",MIN(10,IF('02_ASIN原始数据'!J16&lt;=300,10,IF('02_ASIN原始数据'!J16&lt;=800,8,IF('02_ASIN原始数据'!J16&lt;=1500,5,IF('02_ASIN原始数据'!J16&lt;=3000,2,0))))+IF('02_ASIN原始数据'!P16&lt;=3,2,0)+IF(I16&lt;=10,1,0)))</f>
        <v/>
      </c>
      <c r="K16" s="22">
        <f>IF(A16="","",MIN(10,IF('02_ASIN原始数据'!F16&gt;=50,10,IF('02_ASIN原始数据'!F16&gt;=30,9,IF('02_ASIN原始数据'!F16&gt;=15,7,IF('02_ASIN原始数据'!F16&gt;=5,5,2))))+IF(C16=1,2,0)))</f>
        <v/>
      </c>
      <c r="L16" s="22">
        <f>IF(A16="","",IF(E16=0,0,IF(D16=1,8,3)+IF('02_ASIN原始数据'!N16&gt;='01_动态参数'!B12+10,2,IF('02_ASIN原始数据'!N16&gt;='01_动态参数'!B12,1,0))))</f>
        <v/>
      </c>
      <c r="M16" s="22">
        <f>IF(A16="","",MIN(10,IF('02_ASIN原始数据'!J16&lt;=500,10,IF('02_ASIN原始数据'!J16&lt;=1000,7,IF('02_ASIN原始数据'!J16&lt;=2000,4,1)))+IF(C16=1,2,0)+IF(OR('02_ASIN原始数据'!Q16="Y",'02_ASIN原始数据'!Q16="Yes",'02_ASIN原始数据'!Q16="YES"),1,0)))</f>
        <v/>
      </c>
      <c r="N16" s="22" t="n">
        <v>16</v>
      </c>
    </row>
    <row r="17">
      <c r="A17" s="22">
        <f>'02_ASIN原始数据'!A17</f>
        <v/>
      </c>
      <c r="B17" s="22">
        <f>IF('02_ASIN原始数据'!L17="","",IF(ISNUMBER('02_ASIN原始数据'!L17),TODAY()-'02_ASIN原始数据'!L17,""))</f>
        <v/>
      </c>
      <c r="C17" s="22">
        <f>IF(OR(A17="",B17=""),"",IF(B17&lt;='01_动态参数'!B15,1,0))</f>
        <v/>
      </c>
      <c r="D17" s="22">
        <f>IF(A17="","",IF(AND('02_ASIN原始数据'!D17&gt;='01_动态参数'!B10,'02_ASIN原始数据'!D17&lt;='01_动态参数'!B11),1,0))</f>
        <v/>
      </c>
      <c r="E17" s="22">
        <f>IF(A17="","",IF('02_ASIN原始数据'!N17&gt;='01_动态参数'!B12,1,0))</f>
        <v/>
      </c>
      <c r="F17" s="22">
        <f>IF(A17="","",IF('02_ASIN原始数据'!J17&gt;'01_动态参数'!B13,1,0))</f>
        <v/>
      </c>
      <c r="G17" s="22">
        <f>IF(A17="","",IF('02_ASIN原始数据'!F17&gt;='01_动态参数'!B14,1,0))</f>
        <v/>
      </c>
      <c r="H17" s="22">
        <f>IF(A17="","",IF('02_ASIN原始数据'!M17="AMZ",1,0))</f>
        <v/>
      </c>
      <c r="I17" s="22">
        <f>IF(A17="","",IF('02_ASIN原始数据'!E17="", "",RANK('02_ASIN原始数据'!E17,'02_ASIN原始数据'!$E$3:$E$52,0)))</f>
        <v/>
      </c>
      <c r="J17" s="22">
        <f>IF(A17="","",MIN(10,IF('02_ASIN原始数据'!J17&lt;=300,10,IF('02_ASIN原始数据'!J17&lt;=800,8,IF('02_ASIN原始数据'!J17&lt;=1500,5,IF('02_ASIN原始数据'!J17&lt;=3000,2,0))))+IF('02_ASIN原始数据'!P17&lt;=3,2,0)+IF(I17&lt;=10,1,0)))</f>
        <v/>
      </c>
      <c r="K17" s="22">
        <f>IF(A17="","",MIN(10,IF('02_ASIN原始数据'!F17&gt;=50,10,IF('02_ASIN原始数据'!F17&gt;=30,9,IF('02_ASIN原始数据'!F17&gt;=15,7,IF('02_ASIN原始数据'!F17&gt;=5,5,2))))+IF(C17=1,2,0)))</f>
        <v/>
      </c>
      <c r="L17" s="22">
        <f>IF(A17="","",IF(E17=0,0,IF(D17=1,8,3)+IF('02_ASIN原始数据'!N17&gt;='01_动态参数'!B12+10,2,IF('02_ASIN原始数据'!N17&gt;='01_动态参数'!B12,1,0))))</f>
        <v/>
      </c>
      <c r="M17" s="22">
        <f>IF(A17="","",MIN(10,IF('02_ASIN原始数据'!J17&lt;=500,10,IF('02_ASIN原始数据'!J17&lt;=1000,7,IF('02_ASIN原始数据'!J17&lt;=2000,4,1)))+IF(C17=1,2,0)+IF(OR('02_ASIN原始数据'!Q17="Y",'02_ASIN原始数据'!Q17="Yes",'02_ASIN原始数据'!Q17="YES"),1,0)))</f>
        <v/>
      </c>
      <c r="N17" s="22" t="n">
        <v>17</v>
      </c>
    </row>
    <row r="18">
      <c r="A18" s="22">
        <f>'02_ASIN原始数据'!A18</f>
        <v/>
      </c>
      <c r="B18" s="22">
        <f>IF('02_ASIN原始数据'!L18="","",IF(ISNUMBER('02_ASIN原始数据'!L18),TODAY()-'02_ASIN原始数据'!L18,""))</f>
        <v/>
      </c>
      <c r="C18" s="22">
        <f>IF(OR(A18="",B18=""),"",IF(B18&lt;='01_动态参数'!B15,1,0))</f>
        <v/>
      </c>
      <c r="D18" s="22">
        <f>IF(A18="","",IF(AND('02_ASIN原始数据'!D18&gt;='01_动态参数'!B10,'02_ASIN原始数据'!D18&lt;='01_动态参数'!B11),1,0))</f>
        <v/>
      </c>
      <c r="E18" s="22">
        <f>IF(A18="","",IF('02_ASIN原始数据'!N18&gt;='01_动态参数'!B12,1,0))</f>
        <v/>
      </c>
      <c r="F18" s="22">
        <f>IF(A18="","",IF('02_ASIN原始数据'!J18&gt;'01_动态参数'!B13,1,0))</f>
        <v/>
      </c>
      <c r="G18" s="22">
        <f>IF(A18="","",IF('02_ASIN原始数据'!F18&gt;='01_动态参数'!B14,1,0))</f>
        <v/>
      </c>
      <c r="H18" s="22">
        <f>IF(A18="","",IF('02_ASIN原始数据'!M18="AMZ",1,0))</f>
        <v/>
      </c>
      <c r="I18" s="22">
        <f>IF(A18="","",IF('02_ASIN原始数据'!E18="", "",RANK('02_ASIN原始数据'!E18,'02_ASIN原始数据'!$E$3:$E$52,0)))</f>
        <v/>
      </c>
      <c r="J18" s="22">
        <f>IF(A18="","",MIN(10,IF('02_ASIN原始数据'!J18&lt;=300,10,IF('02_ASIN原始数据'!J18&lt;=800,8,IF('02_ASIN原始数据'!J18&lt;=1500,5,IF('02_ASIN原始数据'!J18&lt;=3000,2,0))))+IF('02_ASIN原始数据'!P18&lt;=3,2,0)+IF(I18&lt;=10,1,0)))</f>
        <v/>
      </c>
      <c r="K18" s="22">
        <f>IF(A18="","",MIN(10,IF('02_ASIN原始数据'!F18&gt;=50,10,IF('02_ASIN原始数据'!F18&gt;=30,9,IF('02_ASIN原始数据'!F18&gt;=15,7,IF('02_ASIN原始数据'!F18&gt;=5,5,2))))+IF(C18=1,2,0)))</f>
        <v/>
      </c>
      <c r="L18" s="22">
        <f>IF(A18="","",IF(E18=0,0,IF(D18=1,8,3)+IF('02_ASIN原始数据'!N18&gt;='01_动态参数'!B12+10,2,IF('02_ASIN原始数据'!N18&gt;='01_动态参数'!B12,1,0))))</f>
        <v/>
      </c>
      <c r="M18" s="22">
        <f>IF(A18="","",MIN(10,IF('02_ASIN原始数据'!J18&lt;=500,10,IF('02_ASIN原始数据'!J18&lt;=1000,7,IF('02_ASIN原始数据'!J18&lt;=2000,4,1)))+IF(C18=1,2,0)+IF(OR('02_ASIN原始数据'!Q18="Y",'02_ASIN原始数据'!Q18="Yes",'02_ASIN原始数据'!Q18="YES"),1,0)))</f>
        <v/>
      </c>
      <c r="N18" s="22" t="n">
        <v>18</v>
      </c>
    </row>
    <row r="19">
      <c r="A19" s="22">
        <f>'02_ASIN原始数据'!A19</f>
        <v/>
      </c>
      <c r="B19" s="22">
        <f>IF('02_ASIN原始数据'!L19="","",IF(ISNUMBER('02_ASIN原始数据'!L19),TODAY()-'02_ASIN原始数据'!L19,""))</f>
        <v/>
      </c>
      <c r="C19" s="22">
        <f>IF(OR(A19="",B19=""),"",IF(B19&lt;='01_动态参数'!B15,1,0))</f>
        <v/>
      </c>
      <c r="D19" s="22">
        <f>IF(A19="","",IF(AND('02_ASIN原始数据'!D19&gt;='01_动态参数'!B10,'02_ASIN原始数据'!D19&lt;='01_动态参数'!B11),1,0))</f>
        <v/>
      </c>
      <c r="E19" s="22">
        <f>IF(A19="","",IF('02_ASIN原始数据'!N19&gt;='01_动态参数'!B12,1,0))</f>
        <v/>
      </c>
      <c r="F19" s="22">
        <f>IF(A19="","",IF('02_ASIN原始数据'!J19&gt;'01_动态参数'!B13,1,0))</f>
        <v/>
      </c>
      <c r="G19" s="22">
        <f>IF(A19="","",IF('02_ASIN原始数据'!F19&gt;='01_动态参数'!B14,1,0))</f>
        <v/>
      </c>
      <c r="H19" s="22">
        <f>IF(A19="","",IF('02_ASIN原始数据'!M19="AMZ",1,0))</f>
        <v/>
      </c>
      <c r="I19" s="22">
        <f>IF(A19="","",IF('02_ASIN原始数据'!E19="", "",RANK('02_ASIN原始数据'!E19,'02_ASIN原始数据'!$E$3:$E$52,0)))</f>
        <v/>
      </c>
      <c r="J19" s="22">
        <f>IF(A19="","",MIN(10,IF('02_ASIN原始数据'!J19&lt;=300,10,IF('02_ASIN原始数据'!J19&lt;=800,8,IF('02_ASIN原始数据'!J19&lt;=1500,5,IF('02_ASIN原始数据'!J19&lt;=3000,2,0))))+IF('02_ASIN原始数据'!P19&lt;=3,2,0)+IF(I19&lt;=10,1,0)))</f>
        <v/>
      </c>
      <c r="K19" s="22">
        <f>IF(A19="","",MIN(10,IF('02_ASIN原始数据'!F19&gt;=50,10,IF('02_ASIN原始数据'!F19&gt;=30,9,IF('02_ASIN原始数据'!F19&gt;=15,7,IF('02_ASIN原始数据'!F19&gt;=5,5,2))))+IF(C19=1,2,0)))</f>
        <v/>
      </c>
      <c r="L19" s="22">
        <f>IF(A19="","",IF(E19=0,0,IF(D19=1,8,3)+IF('02_ASIN原始数据'!N19&gt;='01_动态参数'!B12+10,2,IF('02_ASIN原始数据'!N19&gt;='01_动态参数'!B12,1,0))))</f>
        <v/>
      </c>
      <c r="M19" s="22">
        <f>IF(A19="","",MIN(10,IF('02_ASIN原始数据'!J19&lt;=500,10,IF('02_ASIN原始数据'!J19&lt;=1000,7,IF('02_ASIN原始数据'!J19&lt;=2000,4,1)))+IF(C19=1,2,0)+IF(OR('02_ASIN原始数据'!Q19="Y",'02_ASIN原始数据'!Q19="Yes",'02_ASIN原始数据'!Q19="YES"),1,0)))</f>
        <v/>
      </c>
      <c r="N19" s="22" t="n">
        <v>19</v>
      </c>
    </row>
    <row r="20">
      <c r="A20" s="22">
        <f>'02_ASIN原始数据'!A20</f>
        <v/>
      </c>
      <c r="B20" s="22">
        <f>IF('02_ASIN原始数据'!L20="","",IF(ISNUMBER('02_ASIN原始数据'!L20),TODAY()-'02_ASIN原始数据'!L20,""))</f>
        <v/>
      </c>
      <c r="C20" s="22">
        <f>IF(OR(A20="",B20=""),"",IF(B20&lt;='01_动态参数'!B15,1,0))</f>
        <v/>
      </c>
      <c r="D20" s="22">
        <f>IF(A20="","",IF(AND('02_ASIN原始数据'!D20&gt;='01_动态参数'!B10,'02_ASIN原始数据'!D20&lt;='01_动态参数'!B11),1,0))</f>
        <v/>
      </c>
      <c r="E20" s="22">
        <f>IF(A20="","",IF('02_ASIN原始数据'!N20&gt;='01_动态参数'!B12,1,0))</f>
        <v/>
      </c>
      <c r="F20" s="22">
        <f>IF(A20="","",IF('02_ASIN原始数据'!J20&gt;'01_动态参数'!B13,1,0))</f>
        <v/>
      </c>
      <c r="G20" s="22">
        <f>IF(A20="","",IF('02_ASIN原始数据'!F20&gt;='01_动态参数'!B14,1,0))</f>
        <v/>
      </c>
      <c r="H20" s="22">
        <f>IF(A20="","",IF('02_ASIN原始数据'!M20="AMZ",1,0))</f>
        <v/>
      </c>
      <c r="I20" s="22">
        <f>IF(A20="","",IF('02_ASIN原始数据'!E20="", "",RANK('02_ASIN原始数据'!E20,'02_ASIN原始数据'!$E$3:$E$52,0)))</f>
        <v/>
      </c>
      <c r="J20" s="22">
        <f>IF(A20="","",MIN(10,IF('02_ASIN原始数据'!J20&lt;=300,10,IF('02_ASIN原始数据'!J20&lt;=800,8,IF('02_ASIN原始数据'!J20&lt;=1500,5,IF('02_ASIN原始数据'!J20&lt;=3000,2,0))))+IF('02_ASIN原始数据'!P20&lt;=3,2,0)+IF(I20&lt;=10,1,0)))</f>
        <v/>
      </c>
      <c r="K20" s="22">
        <f>IF(A20="","",MIN(10,IF('02_ASIN原始数据'!F20&gt;=50,10,IF('02_ASIN原始数据'!F20&gt;=30,9,IF('02_ASIN原始数据'!F20&gt;=15,7,IF('02_ASIN原始数据'!F20&gt;=5,5,2))))+IF(C20=1,2,0)))</f>
        <v/>
      </c>
      <c r="L20" s="22">
        <f>IF(A20="","",IF(E20=0,0,IF(D20=1,8,3)+IF('02_ASIN原始数据'!N20&gt;='01_动态参数'!B12+10,2,IF('02_ASIN原始数据'!N20&gt;='01_动态参数'!B12,1,0))))</f>
        <v/>
      </c>
      <c r="M20" s="22">
        <f>IF(A20="","",MIN(10,IF('02_ASIN原始数据'!J20&lt;=500,10,IF('02_ASIN原始数据'!J20&lt;=1000,7,IF('02_ASIN原始数据'!J20&lt;=2000,4,1)))+IF(C20=1,2,0)+IF(OR('02_ASIN原始数据'!Q20="Y",'02_ASIN原始数据'!Q20="Yes",'02_ASIN原始数据'!Q20="YES"),1,0)))</f>
        <v/>
      </c>
      <c r="N20" s="22" t="n">
        <v>20</v>
      </c>
    </row>
    <row r="21">
      <c r="A21" s="22">
        <f>'02_ASIN原始数据'!A21</f>
        <v/>
      </c>
      <c r="B21" s="22">
        <f>IF('02_ASIN原始数据'!L21="","",IF(ISNUMBER('02_ASIN原始数据'!L21),TODAY()-'02_ASIN原始数据'!L21,""))</f>
        <v/>
      </c>
      <c r="C21" s="22">
        <f>IF(OR(A21="",B21=""),"",IF(B21&lt;='01_动态参数'!B15,1,0))</f>
        <v/>
      </c>
      <c r="D21" s="22">
        <f>IF(A21="","",IF(AND('02_ASIN原始数据'!D21&gt;='01_动态参数'!B10,'02_ASIN原始数据'!D21&lt;='01_动态参数'!B11),1,0))</f>
        <v/>
      </c>
      <c r="E21" s="22">
        <f>IF(A21="","",IF('02_ASIN原始数据'!N21&gt;='01_动态参数'!B12,1,0))</f>
        <v/>
      </c>
      <c r="F21" s="22">
        <f>IF(A21="","",IF('02_ASIN原始数据'!J21&gt;'01_动态参数'!B13,1,0))</f>
        <v/>
      </c>
      <c r="G21" s="22">
        <f>IF(A21="","",IF('02_ASIN原始数据'!F21&gt;='01_动态参数'!B14,1,0))</f>
        <v/>
      </c>
      <c r="H21" s="22">
        <f>IF(A21="","",IF('02_ASIN原始数据'!M21="AMZ",1,0))</f>
        <v/>
      </c>
      <c r="I21" s="22">
        <f>IF(A21="","",IF('02_ASIN原始数据'!E21="", "",RANK('02_ASIN原始数据'!E21,'02_ASIN原始数据'!$E$3:$E$52,0)))</f>
        <v/>
      </c>
      <c r="J21" s="22">
        <f>IF(A21="","",MIN(10,IF('02_ASIN原始数据'!J21&lt;=300,10,IF('02_ASIN原始数据'!J21&lt;=800,8,IF('02_ASIN原始数据'!J21&lt;=1500,5,IF('02_ASIN原始数据'!J21&lt;=3000,2,0))))+IF('02_ASIN原始数据'!P21&lt;=3,2,0)+IF(I21&lt;=10,1,0)))</f>
        <v/>
      </c>
      <c r="K21" s="22">
        <f>IF(A21="","",MIN(10,IF('02_ASIN原始数据'!F21&gt;=50,10,IF('02_ASIN原始数据'!F21&gt;=30,9,IF('02_ASIN原始数据'!F21&gt;=15,7,IF('02_ASIN原始数据'!F21&gt;=5,5,2))))+IF(C21=1,2,0)))</f>
        <v/>
      </c>
      <c r="L21" s="22">
        <f>IF(A21="","",IF(E21=0,0,IF(D21=1,8,3)+IF('02_ASIN原始数据'!N21&gt;='01_动态参数'!B12+10,2,IF('02_ASIN原始数据'!N21&gt;='01_动态参数'!B12,1,0))))</f>
        <v/>
      </c>
      <c r="M21" s="22">
        <f>IF(A21="","",MIN(10,IF('02_ASIN原始数据'!J21&lt;=500,10,IF('02_ASIN原始数据'!J21&lt;=1000,7,IF('02_ASIN原始数据'!J21&lt;=2000,4,1)))+IF(C21=1,2,0)+IF(OR('02_ASIN原始数据'!Q21="Y",'02_ASIN原始数据'!Q21="Yes",'02_ASIN原始数据'!Q21="YES"),1,0)))</f>
        <v/>
      </c>
      <c r="N21" s="22" t="n">
        <v>21</v>
      </c>
    </row>
    <row r="22">
      <c r="A22" s="22">
        <f>'02_ASIN原始数据'!A22</f>
        <v/>
      </c>
      <c r="B22" s="22">
        <f>IF('02_ASIN原始数据'!L22="","",IF(ISNUMBER('02_ASIN原始数据'!L22),TODAY()-'02_ASIN原始数据'!L22,""))</f>
        <v/>
      </c>
      <c r="C22" s="22">
        <f>IF(OR(A22="",B22=""),"",IF(B22&lt;='01_动态参数'!B15,1,0))</f>
        <v/>
      </c>
      <c r="D22" s="22">
        <f>IF(A22="","",IF(AND('02_ASIN原始数据'!D22&gt;='01_动态参数'!B10,'02_ASIN原始数据'!D22&lt;='01_动态参数'!B11),1,0))</f>
        <v/>
      </c>
      <c r="E22" s="22">
        <f>IF(A22="","",IF('02_ASIN原始数据'!N22&gt;='01_动态参数'!B12,1,0))</f>
        <v/>
      </c>
      <c r="F22" s="22">
        <f>IF(A22="","",IF('02_ASIN原始数据'!J22&gt;'01_动态参数'!B13,1,0))</f>
        <v/>
      </c>
      <c r="G22" s="22">
        <f>IF(A22="","",IF('02_ASIN原始数据'!F22&gt;='01_动态参数'!B14,1,0))</f>
        <v/>
      </c>
      <c r="H22" s="22">
        <f>IF(A22="","",IF('02_ASIN原始数据'!M22="AMZ",1,0))</f>
        <v/>
      </c>
      <c r="I22" s="22">
        <f>IF(A22="","",IF('02_ASIN原始数据'!E22="", "",RANK('02_ASIN原始数据'!E22,'02_ASIN原始数据'!$E$3:$E$52,0)))</f>
        <v/>
      </c>
      <c r="J22" s="22">
        <f>IF(A22="","",MIN(10,IF('02_ASIN原始数据'!J22&lt;=300,10,IF('02_ASIN原始数据'!J22&lt;=800,8,IF('02_ASIN原始数据'!J22&lt;=1500,5,IF('02_ASIN原始数据'!J22&lt;=3000,2,0))))+IF('02_ASIN原始数据'!P22&lt;=3,2,0)+IF(I22&lt;=10,1,0)))</f>
        <v/>
      </c>
      <c r="K22" s="22">
        <f>IF(A22="","",MIN(10,IF('02_ASIN原始数据'!F22&gt;=50,10,IF('02_ASIN原始数据'!F22&gt;=30,9,IF('02_ASIN原始数据'!F22&gt;=15,7,IF('02_ASIN原始数据'!F22&gt;=5,5,2))))+IF(C22=1,2,0)))</f>
        <v/>
      </c>
      <c r="L22" s="22">
        <f>IF(A22="","",IF(E22=0,0,IF(D22=1,8,3)+IF('02_ASIN原始数据'!N22&gt;='01_动态参数'!B12+10,2,IF('02_ASIN原始数据'!N22&gt;='01_动态参数'!B12,1,0))))</f>
        <v/>
      </c>
      <c r="M22" s="22">
        <f>IF(A22="","",MIN(10,IF('02_ASIN原始数据'!J22&lt;=500,10,IF('02_ASIN原始数据'!J22&lt;=1000,7,IF('02_ASIN原始数据'!J22&lt;=2000,4,1)))+IF(C22=1,2,0)+IF(OR('02_ASIN原始数据'!Q22="Y",'02_ASIN原始数据'!Q22="Yes",'02_ASIN原始数据'!Q22="YES"),1,0)))</f>
        <v/>
      </c>
      <c r="N22" s="22" t="n">
        <v>22</v>
      </c>
    </row>
    <row r="23">
      <c r="A23" s="22">
        <f>'02_ASIN原始数据'!A23</f>
        <v/>
      </c>
      <c r="B23" s="22">
        <f>IF('02_ASIN原始数据'!L23="","",IF(ISNUMBER('02_ASIN原始数据'!L23),TODAY()-'02_ASIN原始数据'!L23,""))</f>
        <v/>
      </c>
      <c r="C23" s="22">
        <f>IF(OR(A23="",B23=""),"",IF(B23&lt;='01_动态参数'!B15,1,0))</f>
        <v/>
      </c>
      <c r="D23" s="22">
        <f>IF(A23="","",IF(AND('02_ASIN原始数据'!D23&gt;='01_动态参数'!B10,'02_ASIN原始数据'!D23&lt;='01_动态参数'!B11),1,0))</f>
        <v/>
      </c>
      <c r="E23" s="22">
        <f>IF(A23="","",IF('02_ASIN原始数据'!N23&gt;='01_动态参数'!B12,1,0))</f>
        <v/>
      </c>
      <c r="F23" s="22">
        <f>IF(A23="","",IF('02_ASIN原始数据'!J23&gt;'01_动态参数'!B13,1,0))</f>
        <v/>
      </c>
      <c r="G23" s="22">
        <f>IF(A23="","",IF('02_ASIN原始数据'!F23&gt;='01_动态参数'!B14,1,0))</f>
        <v/>
      </c>
      <c r="H23" s="22">
        <f>IF(A23="","",IF('02_ASIN原始数据'!M23="AMZ",1,0))</f>
        <v/>
      </c>
      <c r="I23" s="22">
        <f>IF(A23="","",IF('02_ASIN原始数据'!E23="", "",RANK('02_ASIN原始数据'!E23,'02_ASIN原始数据'!$E$3:$E$52,0)))</f>
        <v/>
      </c>
      <c r="J23" s="22">
        <f>IF(A23="","",MIN(10,IF('02_ASIN原始数据'!J23&lt;=300,10,IF('02_ASIN原始数据'!J23&lt;=800,8,IF('02_ASIN原始数据'!J23&lt;=1500,5,IF('02_ASIN原始数据'!J23&lt;=3000,2,0))))+IF('02_ASIN原始数据'!P23&lt;=3,2,0)+IF(I23&lt;=10,1,0)))</f>
        <v/>
      </c>
      <c r="K23" s="22">
        <f>IF(A23="","",MIN(10,IF('02_ASIN原始数据'!F23&gt;=50,10,IF('02_ASIN原始数据'!F23&gt;=30,9,IF('02_ASIN原始数据'!F23&gt;=15,7,IF('02_ASIN原始数据'!F23&gt;=5,5,2))))+IF(C23=1,2,0)))</f>
        <v/>
      </c>
      <c r="L23" s="22">
        <f>IF(A23="","",IF(E23=0,0,IF(D23=1,8,3)+IF('02_ASIN原始数据'!N23&gt;='01_动态参数'!B12+10,2,IF('02_ASIN原始数据'!N23&gt;='01_动态参数'!B12,1,0))))</f>
        <v/>
      </c>
      <c r="M23" s="22">
        <f>IF(A23="","",MIN(10,IF('02_ASIN原始数据'!J23&lt;=500,10,IF('02_ASIN原始数据'!J23&lt;=1000,7,IF('02_ASIN原始数据'!J23&lt;=2000,4,1)))+IF(C23=1,2,0)+IF(OR('02_ASIN原始数据'!Q23="Y",'02_ASIN原始数据'!Q23="Yes",'02_ASIN原始数据'!Q23="YES"),1,0)))</f>
        <v/>
      </c>
      <c r="N23" s="22" t="n">
        <v>23</v>
      </c>
    </row>
    <row r="24">
      <c r="A24" s="22">
        <f>'02_ASIN原始数据'!A24</f>
        <v/>
      </c>
      <c r="B24" s="22">
        <f>IF('02_ASIN原始数据'!L24="","",IF(ISNUMBER('02_ASIN原始数据'!L24),TODAY()-'02_ASIN原始数据'!L24,""))</f>
        <v/>
      </c>
      <c r="C24" s="22">
        <f>IF(OR(A24="",B24=""),"",IF(B24&lt;='01_动态参数'!B15,1,0))</f>
        <v/>
      </c>
      <c r="D24" s="22">
        <f>IF(A24="","",IF(AND('02_ASIN原始数据'!D24&gt;='01_动态参数'!B10,'02_ASIN原始数据'!D24&lt;='01_动态参数'!B11),1,0))</f>
        <v/>
      </c>
      <c r="E24" s="22">
        <f>IF(A24="","",IF('02_ASIN原始数据'!N24&gt;='01_动态参数'!B12,1,0))</f>
        <v/>
      </c>
      <c r="F24" s="22">
        <f>IF(A24="","",IF('02_ASIN原始数据'!J24&gt;'01_动态参数'!B13,1,0))</f>
        <v/>
      </c>
      <c r="G24" s="22">
        <f>IF(A24="","",IF('02_ASIN原始数据'!F24&gt;='01_动态参数'!B14,1,0))</f>
        <v/>
      </c>
      <c r="H24" s="22">
        <f>IF(A24="","",IF('02_ASIN原始数据'!M24="AMZ",1,0))</f>
        <v/>
      </c>
      <c r="I24" s="22">
        <f>IF(A24="","",IF('02_ASIN原始数据'!E24="", "",RANK('02_ASIN原始数据'!E24,'02_ASIN原始数据'!$E$3:$E$52,0)))</f>
        <v/>
      </c>
      <c r="J24" s="22">
        <f>IF(A24="","",MIN(10,IF('02_ASIN原始数据'!J24&lt;=300,10,IF('02_ASIN原始数据'!J24&lt;=800,8,IF('02_ASIN原始数据'!J24&lt;=1500,5,IF('02_ASIN原始数据'!J24&lt;=3000,2,0))))+IF('02_ASIN原始数据'!P24&lt;=3,2,0)+IF(I24&lt;=10,1,0)))</f>
        <v/>
      </c>
      <c r="K24" s="22">
        <f>IF(A24="","",MIN(10,IF('02_ASIN原始数据'!F24&gt;=50,10,IF('02_ASIN原始数据'!F24&gt;=30,9,IF('02_ASIN原始数据'!F24&gt;=15,7,IF('02_ASIN原始数据'!F24&gt;=5,5,2))))+IF(C24=1,2,0)))</f>
        <v/>
      </c>
      <c r="L24" s="22">
        <f>IF(A24="","",IF(E24=0,0,IF(D24=1,8,3)+IF('02_ASIN原始数据'!N24&gt;='01_动态参数'!B12+10,2,IF('02_ASIN原始数据'!N24&gt;='01_动态参数'!B12,1,0))))</f>
        <v/>
      </c>
      <c r="M24" s="22">
        <f>IF(A24="","",MIN(10,IF('02_ASIN原始数据'!J24&lt;=500,10,IF('02_ASIN原始数据'!J24&lt;=1000,7,IF('02_ASIN原始数据'!J24&lt;=2000,4,1)))+IF(C24=1,2,0)+IF(OR('02_ASIN原始数据'!Q24="Y",'02_ASIN原始数据'!Q24="Yes",'02_ASIN原始数据'!Q24="YES"),1,0)))</f>
        <v/>
      </c>
      <c r="N24" s="22" t="n">
        <v>24</v>
      </c>
    </row>
    <row r="25">
      <c r="A25" s="22">
        <f>'02_ASIN原始数据'!A25</f>
        <v/>
      </c>
      <c r="B25" s="22">
        <f>IF('02_ASIN原始数据'!L25="","",IF(ISNUMBER('02_ASIN原始数据'!L25),TODAY()-'02_ASIN原始数据'!L25,""))</f>
        <v/>
      </c>
      <c r="C25" s="22">
        <f>IF(OR(A25="",B25=""),"",IF(B25&lt;='01_动态参数'!B15,1,0))</f>
        <v/>
      </c>
      <c r="D25" s="22">
        <f>IF(A25="","",IF(AND('02_ASIN原始数据'!D25&gt;='01_动态参数'!B10,'02_ASIN原始数据'!D25&lt;='01_动态参数'!B11),1,0))</f>
        <v/>
      </c>
      <c r="E25" s="22">
        <f>IF(A25="","",IF('02_ASIN原始数据'!N25&gt;='01_动态参数'!B12,1,0))</f>
        <v/>
      </c>
      <c r="F25" s="22">
        <f>IF(A25="","",IF('02_ASIN原始数据'!J25&gt;'01_动态参数'!B13,1,0))</f>
        <v/>
      </c>
      <c r="G25" s="22">
        <f>IF(A25="","",IF('02_ASIN原始数据'!F25&gt;='01_动态参数'!B14,1,0))</f>
        <v/>
      </c>
      <c r="H25" s="22">
        <f>IF(A25="","",IF('02_ASIN原始数据'!M25="AMZ",1,0))</f>
        <v/>
      </c>
      <c r="I25" s="22">
        <f>IF(A25="","",IF('02_ASIN原始数据'!E25="", "",RANK('02_ASIN原始数据'!E25,'02_ASIN原始数据'!$E$3:$E$52,0)))</f>
        <v/>
      </c>
      <c r="J25" s="22">
        <f>IF(A25="","",MIN(10,IF('02_ASIN原始数据'!J25&lt;=300,10,IF('02_ASIN原始数据'!J25&lt;=800,8,IF('02_ASIN原始数据'!J25&lt;=1500,5,IF('02_ASIN原始数据'!J25&lt;=3000,2,0))))+IF('02_ASIN原始数据'!P25&lt;=3,2,0)+IF(I25&lt;=10,1,0)))</f>
        <v/>
      </c>
      <c r="K25" s="22">
        <f>IF(A25="","",MIN(10,IF('02_ASIN原始数据'!F25&gt;=50,10,IF('02_ASIN原始数据'!F25&gt;=30,9,IF('02_ASIN原始数据'!F25&gt;=15,7,IF('02_ASIN原始数据'!F25&gt;=5,5,2))))+IF(C25=1,2,0)))</f>
        <v/>
      </c>
      <c r="L25" s="22">
        <f>IF(A25="","",IF(E25=0,0,IF(D25=1,8,3)+IF('02_ASIN原始数据'!N25&gt;='01_动态参数'!B12+10,2,IF('02_ASIN原始数据'!N25&gt;='01_动态参数'!B12,1,0))))</f>
        <v/>
      </c>
      <c r="M25" s="22">
        <f>IF(A25="","",MIN(10,IF('02_ASIN原始数据'!J25&lt;=500,10,IF('02_ASIN原始数据'!J25&lt;=1000,7,IF('02_ASIN原始数据'!J25&lt;=2000,4,1)))+IF(C25=1,2,0)+IF(OR('02_ASIN原始数据'!Q25="Y",'02_ASIN原始数据'!Q25="Yes",'02_ASIN原始数据'!Q25="YES"),1,0)))</f>
        <v/>
      </c>
      <c r="N25" s="22" t="n">
        <v>25</v>
      </c>
    </row>
    <row r="26">
      <c r="A26" s="22">
        <f>'02_ASIN原始数据'!A26</f>
        <v/>
      </c>
      <c r="B26" s="22">
        <f>IF('02_ASIN原始数据'!L26="","",IF(ISNUMBER('02_ASIN原始数据'!L26),TODAY()-'02_ASIN原始数据'!L26,""))</f>
        <v/>
      </c>
      <c r="C26" s="22">
        <f>IF(OR(A26="",B26=""),"",IF(B26&lt;='01_动态参数'!B15,1,0))</f>
        <v/>
      </c>
      <c r="D26" s="22">
        <f>IF(A26="","",IF(AND('02_ASIN原始数据'!D26&gt;='01_动态参数'!B10,'02_ASIN原始数据'!D26&lt;='01_动态参数'!B11),1,0))</f>
        <v/>
      </c>
      <c r="E26" s="22">
        <f>IF(A26="","",IF('02_ASIN原始数据'!N26&gt;='01_动态参数'!B12,1,0))</f>
        <v/>
      </c>
      <c r="F26" s="22">
        <f>IF(A26="","",IF('02_ASIN原始数据'!J26&gt;'01_动态参数'!B13,1,0))</f>
        <v/>
      </c>
      <c r="G26" s="22">
        <f>IF(A26="","",IF('02_ASIN原始数据'!F26&gt;='01_动态参数'!B14,1,0))</f>
        <v/>
      </c>
      <c r="H26" s="22">
        <f>IF(A26="","",IF('02_ASIN原始数据'!M26="AMZ",1,0))</f>
        <v/>
      </c>
      <c r="I26" s="22">
        <f>IF(A26="","",IF('02_ASIN原始数据'!E26="", "",RANK('02_ASIN原始数据'!E26,'02_ASIN原始数据'!$E$3:$E$52,0)))</f>
        <v/>
      </c>
      <c r="J26" s="22">
        <f>IF(A26="","",MIN(10,IF('02_ASIN原始数据'!J26&lt;=300,10,IF('02_ASIN原始数据'!J26&lt;=800,8,IF('02_ASIN原始数据'!J26&lt;=1500,5,IF('02_ASIN原始数据'!J26&lt;=3000,2,0))))+IF('02_ASIN原始数据'!P26&lt;=3,2,0)+IF(I26&lt;=10,1,0)))</f>
        <v/>
      </c>
      <c r="K26" s="22">
        <f>IF(A26="","",MIN(10,IF('02_ASIN原始数据'!F26&gt;=50,10,IF('02_ASIN原始数据'!F26&gt;=30,9,IF('02_ASIN原始数据'!F26&gt;=15,7,IF('02_ASIN原始数据'!F26&gt;=5,5,2))))+IF(C26=1,2,0)))</f>
        <v/>
      </c>
      <c r="L26" s="22">
        <f>IF(A26="","",IF(E26=0,0,IF(D26=1,8,3)+IF('02_ASIN原始数据'!N26&gt;='01_动态参数'!B12+10,2,IF('02_ASIN原始数据'!N26&gt;='01_动态参数'!B12,1,0))))</f>
        <v/>
      </c>
      <c r="M26" s="22">
        <f>IF(A26="","",MIN(10,IF('02_ASIN原始数据'!J26&lt;=500,10,IF('02_ASIN原始数据'!J26&lt;=1000,7,IF('02_ASIN原始数据'!J26&lt;=2000,4,1)))+IF(C26=1,2,0)+IF(OR('02_ASIN原始数据'!Q26="Y",'02_ASIN原始数据'!Q26="Yes",'02_ASIN原始数据'!Q26="YES"),1,0)))</f>
        <v/>
      </c>
      <c r="N26" s="22" t="n">
        <v>26</v>
      </c>
    </row>
    <row r="27">
      <c r="A27" s="22">
        <f>'02_ASIN原始数据'!A27</f>
        <v/>
      </c>
      <c r="B27" s="22">
        <f>IF('02_ASIN原始数据'!L27="","",IF(ISNUMBER('02_ASIN原始数据'!L27),TODAY()-'02_ASIN原始数据'!L27,""))</f>
        <v/>
      </c>
      <c r="C27" s="22">
        <f>IF(OR(A27="",B27=""),"",IF(B27&lt;='01_动态参数'!B15,1,0))</f>
        <v/>
      </c>
      <c r="D27" s="22">
        <f>IF(A27="","",IF(AND('02_ASIN原始数据'!D27&gt;='01_动态参数'!B10,'02_ASIN原始数据'!D27&lt;='01_动态参数'!B11),1,0))</f>
        <v/>
      </c>
      <c r="E27" s="22">
        <f>IF(A27="","",IF('02_ASIN原始数据'!N27&gt;='01_动态参数'!B12,1,0))</f>
        <v/>
      </c>
      <c r="F27" s="22">
        <f>IF(A27="","",IF('02_ASIN原始数据'!J27&gt;'01_动态参数'!B13,1,0))</f>
        <v/>
      </c>
      <c r="G27" s="22">
        <f>IF(A27="","",IF('02_ASIN原始数据'!F27&gt;='01_动态参数'!B14,1,0))</f>
        <v/>
      </c>
      <c r="H27" s="22">
        <f>IF(A27="","",IF('02_ASIN原始数据'!M27="AMZ",1,0))</f>
        <v/>
      </c>
      <c r="I27" s="22">
        <f>IF(A27="","",IF('02_ASIN原始数据'!E27="", "",RANK('02_ASIN原始数据'!E27,'02_ASIN原始数据'!$E$3:$E$52,0)))</f>
        <v/>
      </c>
      <c r="J27" s="22">
        <f>IF(A27="","",MIN(10,IF('02_ASIN原始数据'!J27&lt;=300,10,IF('02_ASIN原始数据'!J27&lt;=800,8,IF('02_ASIN原始数据'!J27&lt;=1500,5,IF('02_ASIN原始数据'!J27&lt;=3000,2,0))))+IF('02_ASIN原始数据'!P27&lt;=3,2,0)+IF(I27&lt;=10,1,0)))</f>
        <v/>
      </c>
      <c r="K27" s="22">
        <f>IF(A27="","",MIN(10,IF('02_ASIN原始数据'!F27&gt;=50,10,IF('02_ASIN原始数据'!F27&gt;=30,9,IF('02_ASIN原始数据'!F27&gt;=15,7,IF('02_ASIN原始数据'!F27&gt;=5,5,2))))+IF(C27=1,2,0)))</f>
        <v/>
      </c>
      <c r="L27" s="22">
        <f>IF(A27="","",IF(E27=0,0,IF(D27=1,8,3)+IF('02_ASIN原始数据'!N27&gt;='01_动态参数'!B12+10,2,IF('02_ASIN原始数据'!N27&gt;='01_动态参数'!B12,1,0))))</f>
        <v/>
      </c>
      <c r="M27" s="22">
        <f>IF(A27="","",MIN(10,IF('02_ASIN原始数据'!J27&lt;=500,10,IF('02_ASIN原始数据'!J27&lt;=1000,7,IF('02_ASIN原始数据'!J27&lt;=2000,4,1)))+IF(C27=1,2,0)+IF(OR('02_ASIN原始数据'!Q27="Y",'02_ASIN原始数据'!Q27="Yes",'02_ASIN原始数据'!Q27="YES"),1,0)))</f>
        <v/>
      </c>
      <c r="N27" s="22" t="n">
        <v>27</v>
      </c>
    </row>
    <row r="28">
      <c r="A28" s="22">
        <f>'02_ASIN原始数据'!A28</f>
        <v/>
      </c>
      <c r="B28" s="22">
        <f>IF('02_ASIN原始数据'!L28="","",IF(ISNUMBER('02_ASIN原始数据'!L28),TODAY()-'02_ASIN原始数据'!L28,""))</f>
        <v/>
      </c>
      <c r="C28" s="22">
        <f>IF(OR(A28="",B28=""),"",IF(B28&lt;='01_动态参数'!B15,1,0))</f>
        <v/>
      </c>
      <c r="D28" s="22">
        <f>IF(A28="","",IF(AND('02_ASIN原始数据'!D28&gt;='01_动态参数'!B10,'02_ASIN原始数据'!D28&lt;='01_动态参数'!B11),1,0))</f>
        <v/>
      </c>
      <c r="E28" s="22">
        <f>IF(A28="","",IF('02_ASIN原始数据'!N28&gt;='01_动态参数'!B12,1,0))</f>
        <v/>
      </c>
      <c r="F28" s="22">
        <f>IF(A28="","",IF('02_ASIN原始数据'!J28&gt;'01_动态参数'!B13,1,0))</f>
        <v/>
      </c>
      <c r="G28" s="22">
        <f>IF(A28="","",IF('02_ASIN原始数据'!F28&gt;='01_动态参数'!B14,1,0))</f>
        <v/>
      </c>
      <c r="H28" s="22">
        <f>IF(A28="","",IF('02_ASIN原始数据'!M28="AMZ",1,0))</f>
        <v/>
      </c>
      <c r="I28" s="22">
        <f>IF(A28="","",IF('02_ASIN原始数据'!E28="", "",RANK('02_ASIN原始数据'!E28,'02_ASIN原始数据'!$E$3:$E$52,0)))</f>
        <v/>
      </c>
      <c r="J28" s="22">
        <f>IF(A28="","",MIN(10,IF('02_ASIN原始数据'!J28&lt;=300,10,IF('02_ASIN原始数据'!J28&lt;=800,8,IF('02_ASIN原始数据'!J28&lt;=1500,5,IF('02_ASIN原始数据'!J28&lt;=3000,2,0))))+IF('02_ASIN原始数据'!P28&lt;=3,2,0)+IF(I28&lt;=10,1,0)))</f>
        <v/>
      </c>
      <c r="K28" s="22">
        <f>IF(A28="","",MIN(10,IF('02_ASIN原始数据'!F28&gt;=50,10,IF('02_ASIN原始数据'!F28&gt;=30,9,IF('02_ASIN原始数据'!F28&gt;=15,7,IF('02_ASIN原始数据'!F28&gt;=5,5,2))))+IF(C28=1,2,0)))</f>
        <v/>
      </c>
      <c r="L28" s="22">
        <f>IF(A28="","",IF(E28=0,0,IF(D28=1,8,3)+IF('02_ASIN原始数据'!N28&gt;='01_动态参数'!B12+10,2,IF('02_ASIN原始数据'!N28&gt;='01_动态参数'!B12,1,0))))</f>
        <v/>
      </c>
      <c r="M28" s="22">
        <f>IF(A28="","",MIN(10,IF('02_ASIN原始数据'!J28&lt;=500,10,IF('02_ASIN原始数据'!J28&lt;=1000,7,IF('02_ASIN原始数据'!J28&lt;=2000,4,1)))+IF(C28=1,2,0)+IF(OR('02_ASIN原始数据'!Q28="Y",'02_ASIN原始数据'!Q28="Yes",'02_ASIN原始数据'!Q28="YES"),1,0)))</f>
        <v/>
      </c>
      <c r="N28" s="22" t="n">
        <v>28</v>
      </c>
    </row>
    <row r="29">
      <c r="A29" s="22">
        <f>'02_ASIN原始数据'!A29</f>
        <v/>
      </c>
      <c r="B29" s="22">
        <f>IF('02_ASIN原始数据'!L29="","",IF(ISNUMBER('02_ASIN原始数据'!L29),TODAY()-'02_ASIN原始数据'!L29,""))</f>
        <v/>
      </c>
      <c r="C29" s="22">
        <f>IF(OR(A29="",B29=""),"",IF(B29&lt;='01_动态参数'!B15,1,0))</f>
        <v/>
      </c>
      <c r="D29" s="22">
        <f>IF(A29="","",IF(AND('02_ASIN原始数据'!D29&gt;='01_动态参数'!B10,'02_ASIN原始数据'!D29&lt;='01_动态参数'!B11),1,0))</f>
        <v/>
      </c>
      <c r="E29" s="22">
        <f>IF(A29="","",IF('02_ASIN原始数据'!N29&gt;='01_动态参数'!B12,1,0))</f>
        <v/>
      </c>
      <c r="F29" s="22">
        <f>IF(A29="","",IF('02_ASIN原始数据'!J29&gt;'01_动态参数'!B13,1,0))</f>
        <v/>
      </c>
      <c r="G29" s="22">
        <f>IF(A29="","",IF('02_ASIN原始数据'!F29&gt;='01_动态参数'!B14,1,0))</f>
        <v/>
      </c>
      <c r="H29" s="22">
        <f>IF(A29="","",IF('02_ASIN原始数据'!M29="AMZ",1,0))</f>
        <v/>
      </c>
      <c r="I29" s="22">
        <f>IF(A29="","",IF('02_ASIN原始数据'!E29="", "",RANK('02_ASIN原始数据'!E29,'02_ASIN原始数据'!$E$3:$E$52,0)))</f>
        <v/>
      </c>
      <c r="J29" s="22">
        <f>IF(A29="","",MIN(10,IF('02_ASIN原始数据'!J29&lt;=300,10,IF('02_ASIN原始数据'!J29&lt;=800,8,IF('02_ASIN原始数据'!J29&lt;=1500,5,IF('02_ASIN原始数据'!J29&lt;=3000,2,0))))+IF('02_ASIN原始数据'!P29&lt;=3,2,0)+IF(I29&lt;=10,1,0)))</f>
        <v/>
      </c>
      <c r="K29" s="22">
        <f>IF(A29="","",MIN(10,IF('02_ASIN原始数据'!F29&gt;=50,10,IF('02_ASIN原始数据'!F29&gt;=30,9,IF('02_ASIN原始数据'!F29&gt;=15,7,IF('02_ASIN原始数据'!F29&gt;=5,5,2))))+IF(C29=1,2,0)))</f>
        <v/>
      </c>
      <c r="L29" s="22">
        <f>IF(A29="","",IF(E29=0,0,IF(D29=1,8,3)+IF('02_ASIN原始数据'!N29&gt;='01_动态参数'!B12+10,2,IF('02_ASIN原始数据'!N29&gt;='01_动态参数'!B12,1,0))))</f>
        <v/>
      </c>
      <c r="M29" s="22">
        <f>IF(A29="","",MIN(10,IF('02_ASIN原始数据'!J29&lt;=500,10,IF('02_ASIN原始数据'!J29&lt;=1000,7,IF('02_ASIN原始数据'!J29&lt;=2000,4,1)))+IF(C29=1,2,0)+IF(OR('02_ASIN原始数据'!Q29="Y",'02_ASIN原始数据'!Q29="Yes",'02_ASIN原始数据'!Q29="YES"),1,0)))</f>
        <v/>
      </c>
      <c r="N29" s="22" t="n">
        <v>29</v>
      </c>
    </row>
    <row r="30">
      <c r="A30" s="22">
        <f>'02_ASIN原始数据'!A30</f>
        <v/>
      </c>
      <c r="B30" s="22">
        <f>IF('02_ASIN原始数据'!L30="","",IF(ISNUMBER('02_ASIN原始数据'!L30),TODAY()-'02_ASIN原始数据'!L30,""))</f>
        <v/>
      </c>
      <c r="C30" s="22">
        <f>IF(OR(A30="",B30=""),"",IF(B30&lt;='01_动态参数'!B15,1,0))</f>
        <v/>
      </c>
      <c r="D30" s="22">
        <f>IF(A30="","",IF(AND('02_ASIN原始数据'!D30&gt;='01_动态参数'!B10,'02_ASIN原始数据'!D30&lt;='01_动态参数'!B11),1,0))</f>
        <v/>
      </c>
      <c r="E30" s="22">
        <f>IF(A30="","",IF('02_ASIN原始数据'!N30&gt;='01_动态参数'!B12,1,0))</f>
        <v/>
      </c>
      <c r="F30" s="22">
        <f>IF(A30="","",IF('02_ASIN原始数据'!J30&gt;'01_动态参数'!B13,1,0))</f>
        <v/>
      </c>
      <c r="G30" s="22">
        <f>IF(A30="","",IF('02_ASIN原始数据'!F30&gt;='01_动态参数'!B14,1,0))</f>
        <v/>
      </c>
      <c r="H30" s="22">
        <f>IF(A30="","",IF('02_ASIN原始数据'!M30="AMZ",1,0))</f>
        <v/>
      </c>
      <c r="I30" s="22">
        <f>IF(A30="","",IF('02_ASIN原始数据'!E30="", "",RANK('02_ASIN原始数据'!E30,'02_ASIN原始数据'!$E$3:$E$52,0)))</f>
        <v/>
      </c>
      <c r="J30" s="22">
        <f>IF(A30="","",MIN(10,IF('02_ASIN原始数据'!J30&lt;=300,10,IF('02_ASIN原始数据'!J30&lt;=800,8,IF('02_ASIN原始数据'!J30&lt;=1500,5,IF('02_ASIN原始数据'!J30&lt;=3000,2,0))))+IF('02_ASIN原始数据'!P30&lt;=3,2,0)+IF(I30&lt;=10,1,0)))</f>
        <v/>
      </c>
      <c r="K30" s="22">
        <f>IF(A30="","",MIN(10,IF('02_ASIN原始数据'!F30&gt;=50,10,IF('02_ASIN原始数据'!F30&gt;=30,9,IF('02_ASIN原始数据'!F30&gt;=15,7,IF('02_ASIN原始数据'!F30&gt;=5,5,2))))+IF(C30=1,2,0)))</f>
        <v/>
      </c>
      <c r="L30" s="22">
        <f>IF(A30="","",IF(E30=0,0,IF(D30=1,8,3)+IF('02_ASIN原始数据'!N30&gt;='01_动态参数'!B12+10,2,IF('02_ASIN原始数据'!N30&gt;='01_动态参数'!B12,1,0))))</f>
        <v/>
      </c>
      <c r="M30" s="22">
        <f>IF(A30="","",MIN(10,IF('02_ASIN原始数据'!J30&lt;=500,10,IF('02_ASIN原始数据'!J30&lt;=1000,7,IF('02_ASIN原始数据'!J30&lt;=2000,4,1)))+IF(C30=1,2,0)+IF(OR('02_ASIN原始数据'!Q30="Y",'02_ASIN原始数据'!Q30="Yes",'02_ASIN原始数据'!Q30="YES"),1,0)))</f>
        <v/>
      </c>
      <c r="N30" s="22" t="n">
        <v>30</v>
      </c>
    </row>
    <row r="31">
      <c r="A31" s="22">
        <f>'02_ASIN原始数据'!A31</f>
        <v/>
      </c>
      <c r="B31" s="22">
        <f>IF('02_ASIN原始数据'!L31="","",IF(ISNUMBER('02_ASIN原始数据'!L31),TODAY()-'02_ASIN原始数据'!L31,""))</f>
        <v/>
      </c>
      <c r="C31" s="22">
        <f>IF(OR(A31="",B31=""),"",IF(B31&lt;='01_动态参数'!B15,1,0))</f>
        <v/>
      </c>
      <c r="D31" s="22">
        <f>IF(A31="","",IF(AND('02_ASIN原始数据'!D31&gt;='01_动态参数'!B10,'02_ASIN原始数据'!D31&lt;='01_动态参数'!B11),1,0))</f>
        <v/>
      </c>
      <c r="E31" s="22">
        <f>IF(A31="","",IF('02_ASIN原始数据'!N31&gt;='01_动态参数'!B12,1,0))</f>
        <v/>
      </c>
      <c r="F31" s="22">
        <f>IF(A31="","",IF('02_ASIN原始数据'!J31&gt;'01_动态参数'!B13,1,0))</f>
        <v/>
      </c>
      <c r="G31" s="22">
        <f>IF(A31="","",IF('02_ASIN原始数据'!F31&gt;='01_动态参数'!B14,1,0))</f>
        <v/>
      </c>
      <c r="H31" s="22">
        <f>IF(A31="","",IF('02_ASIN原始数据'!M31="AMZ",1,0))</f>
        <v/>
      </c>
      <c r="I31" s="22">
        <f>IF(A31="","",IF('02_ASIN原始数据'!E31="", "",RANK('02_ASIN原始数据'!E31,'02_ASIN原始数据'!$E$3:$E$52,0)))</f>
        <v/>
      </c>
      <c r="J31" s="22">
        <f>IF(A31="","",MIN(10,IF('02_ASIN原始数据'!J31&lt;=300,10,IF('02_ASIN原始数据'!J31&lt;=800,8,IF('02_ASIN原始数据'!J31&lt;=1500,5,IF('02_ASIN原始数据'!J31&lt;=3000,2,0))))+IF('02_ASIN原始数据'!P31&lt;=3,2,0)+IF(I31&lt;=10,1,0)))</f>
        <v/>
      </c>
      <c r="K31" s="22">
        <f>IF(A31="","",MIN(10,IF('02_ASIN原始数据'!F31&gt;=50,10,IF('02_ASIN原始数据'!F31&gt;=30,9,IF('02_ASIN原始数据'!F31&gt;=15,7,IF('02_ASIN原始数据'!F31&gt;=5,5,2))))+IF(C31=1,2,0)))</f>
        <v/>
      </c>
      <c r="L31" s="22">
        <f>IF(A31="","",IF(E31=0,0,IF(D31=1,8,3)+IF('02_ASIN原始数据'!N31&gt;='01_动态参数'!B12+10,2,IF('02_ASIN原始数据'!N31&gt;='01_动态参数'!B12,1,0))))</f>
        <v/>
      </c>
      <c r="M31" s="22">
        <f>IF(A31="","",MIN(10,IF('02_ASIN原始数据'!J31&lt;=500,10,IF('02_ASIN原始数据'!J31&lt;=1000,7,IF('02_ASIN原始数据'!J31&lt;=2000,4,1)))+IF(C31=1,2,0)+IF(OR('02_ASIN原始数据'!Q31="Y",'02_ASIN原始数据'!Q31="Yes",'02_ASIN原始数据'!Q31="YES"),1,0)))</f>
        <v/>
      </c>
      <c r="N31" s="22" t="n">
        <v>31</v>
      </c>
    </row>
    <row r="32">
      <c r="A32" s="22">
        <f>'02_ASIN原始数据'!A32</f>
        <v/>
      </c>
      <c r="B32" s="22">
        <f>IF('02_ASIN原始数据'!L32="","",IF(ISNUMBER('02_ASIN原始数据'!L32),TODAY()-'02_ASIN原始数据'!L32,""))</f>
        <v/>
      </c>
      <c r="C32" s="22">
        <f>IF(OR(A32="",B32=""),"",IF(B32&lt;='01_动态参数'!B15,1,0))</f>
        <v/>
      </c>
      <c r="D32" s="22">
        <f>IF(A32="","",IF(AND('02_ASIN原始数据'!D32&gt;='01_动态参数'!B10,'02_ASIN原始数据'!D32&lt;='01_动态参数'!B11),1,0))</f>
        <v/>
      </c>
      <c r="E32" s="22">
        <f>IF(A32="","",IF('02_ASIN原始数据'!N32&gt;='01_动态参数'!B12,1,0))</f>
        <v/>
      </c>
      <c r="F32" s="22">
        <f>IF(A32="","",IF('02_ASIN原始数据'!J32&gt;'01_动态参数'!B13,1,0))</f>
        <v/>
      </c>
      <c r="G32" s="22">
        <f>IF(A32="","",IF('02_ASIN原始数据'!F32&gt;='01_动态参数'!B14,1,0))</f>
        <v/>
      </c>
      <c r="H32" s="22">
        <f>IF(A32="","",IF('02_ASIN原始数据'!M32="AMZ",1,0))</f>
        <v/>
      </c>
      <c r="I32" s="22">
        <f>IF(A32="","",IF('02_ASIN原始数据'!E32="", "",RANK('02_ASIN原始数据'!E32,'02_ASIN原始数据'!$E$3:$E$52,0)))</f>
        <v/>
      </c>
      <c r="J32" s="22">
        <f>IF(A32="","",MIN(10,IF('02_ASIN原始数据'!J32&lt;=300,10,IF('02_ASIN原始数据'!J32&lt;=800,8,IF('02_ASIN原始数据'!J32&lt;=1500,5,IF('02_ASIN原始数据'!J32&lt;=3000,2,0))))+IF('02_ASIN原始数据'!P32&lt;=3,2,0)+IF(I32&lt;=10,1,0)))</f>
        <v/>
      </c>
      <c r="K32" s="22">
        <f>IF(A32="","",MIN(10,IF('02_ASIN原始数据'!F32&gt;=50,10,IF('02_ASIN原始数据'!F32&gt;=30,9,IF('02_ASIN原始数据'!F32&gt;=15,7,IF('02_ASIN原始数据'!F32&gt;=5,5,2))))+IF(C32=1,2,0)))</f>
        <v/>
      </c>
      <c r="L32" s="22">
        <f>IF(A32="","",IF(E32=0,0,IF(D32=1,8,3)+IF('02_ASIN原始数据'!N32&gt;='01_动态参数'!B12+10,2,IF('02_ASIN原始数据'!N32&gt;='01_动态参数'!B12,1,0))))</f>
        <v/>
      </c>
      <c r="M32" s="22">
        <f>IF(A32="","",MIN(10,IF('02_ASIN原始数据'!J32&lt;=500,10,IF('02_ASIN原始数据'!J32&lt;=1000,7,IF('02_ASIN原始数据'!J32&lt;=2000,4,1)))+IF(C32=1,2,0)+IF(OR('02_ASIN原始数据'!Q32="Y",'02_ASIN原始数据'!Q32="Yes",'02_ASIN原始数据'!Q32="YES"),1,0)))</f>
        <v/>
      </c>
      <c r="N32" s="22" t="n">
        <v>32</v>
      </c>
    </row>
    <row r="33">
      <c r="A33" s="22">
        <f>'02_ASIN原始数据'!A33</f>
        <v/>
      </c>
      <c r="B33" s="22">
        <f>IF('02_ASIN原始数据'!L33="","",IF(ISNUMBER('02_ASIN原始数据'!L33),TODAY()-'02_ASIN原始数据'!L33,""))</f>
        <v/>
      </c>
      <c r="C33" s="22">
        <f>IF(OR(A33="",B33=""),"",IF(B33&lt;='01_动态参数'!B15,1,0))</f>
        <v/>
      </c>
      <c r="D33" s="22">
        <f>IF(A33="","",IF(AND('02_ASIN原始数据'!D33&gt;='01_动态参数'!B10,'02_ASIN原始数据'!D33&lt;='01_动态参数'!B11),1,0))</f>
        <v/>
      </c>
      <c r="E33" s="22">
        <f>IF(A33="","",IF('02_ASIN原始数据'!N33&gt;='01_动态参数'!B12,1,0))</f>
        <v/>
      </c>
      <c r="F33" s="22">
        <f>IF(A33="","",IF('02_ASIN原始数据'!J33&gt;'01_动态参数'!B13,1,0))</f>
        <v/>
      </c>
      <c r="G33" s="22">
        <f>IF(A33="","",IF('02_ASIN原始数据'!F33&gt;='01_动态参数'!B14,1,0))</f>
        <v/>
      </c>
      <c r="H33" s="22">
        <f>IF(A33="","",IF('02_ASIN原始数据'!M33="AMZ",1,0))</f>
        <v/>
      </c>
      <c r="I33" s="22">
        <f>IF(A33="","",IF('02_ASIN原始数据'!E33="", "",RANK('02_ASIN原始数据'!E33,'02_ASIN原始数据'!$E$3:$E$52,0)))</f>
        <v/>
      </c>
      <c r="J33" s="22">
        <f>IF(A33="","",MIN(10,IF('02_ASIN原始数据'!J33&lt;=300,10,IF('02_ASIN原始数据'!J33&lt;=800,8,IF('02_ASIN原始数据'!J33&lt;=1500,5,IF('02_ASIN原始数据'!J33&lt;=3000,2,0))))+IF('02_ASIN原始数据'!P33&lt;=3,2,0)+IF(I33&lt;=10,1,0)))</f>
        <v/>
      </c>
      <c r="K33" s="22">
        <f>IF(A33="","",MIN(10,IF('02_ASIN原始数据'!F33&gt;=50,10,IF('02_ASIN原始数据'!F33&gt;=30,9,IF('02_ASIN原始数据'!F33&gt;=15,7,IF('02_ASIN原始数据'!F33&gt;=5,5,2))))+IF(C33=1,2,0)))</f>
        <v/>
      </c>
      <c r="L33" s="22">
        <f>IF(A33="","",IF(E33=0,0,IF(D33=1,8,3)+IF('02_ASIN原始数据'!N33&gt;='01_动态参数'!B12+10,2,IF('02_ASIN原始数据'!N33&gt;='01_动态参数'!B12,1,0))))</f>
        <v/>
      </c>
      <c r="M33" s="22">
        <f>IF(A33="","",MIN(10,IF('02_ASIN原始数据'!J33&lt;=500,10,IF('02_ASIN原始数据'!J33&lt;=1000,7,IF('02_ASIN原始数据'!J33&lt;=2000,4,1)))+IF(C33=1,2,0)+IF(OR('02_ASIN原始数据'!Q33="Y",'02_ASIN原始数据'!Q33="Yes",'02_ASIN原始数据'!Q33="YES"),1,0)))</f>
        <v/>
      </c>
      <c r="N33" s="22" t="n">
        <v>33</v>
      </c>
    </row>
    <row r="34">
      <c r="A34" s="22">
        <f>'02_ASIN原始数据'!A34</f>
        <v/>
      </c>
      <c r="B34" s="22">
        <f>IF('02_ASIN原始数据'!L34="","",IF(ISNUMBER('02_ASIN原始数据'!L34),TODAY()-'02_ASIN原始数据'!L34,""))</f>
        <v/>
      </c>
      <c r="C34" s="22">
        <f>IF(OR(A34="",B34=""),"",IF(B34&lt;='01_动态参数'!B15,1,0))</f>
        <v/>
      </c>
      <c r="D34" s="22">
        <f>IF(A34="","",IF(AND('02_ASIN原始数据'!D34&gt;='01_动态参数'!B10,'02_ASIN原始数据'!D34&lt;='01_动态参数'!B11),1,0))</f>
        <v/>
      </c>
      <c r="E34" s="22">
        <f>IF(A34="","",IF('02_ASIN原始数据'!N34&gt;='01_动态参数'!B12,1,0))</f>
        <v/>
      </c>
      <c r="F34" s="22">
        <f>IF(A34="","",IF('02_ASIN原始数据'!J34&gt;'01_动态参数'!B13,1,0))</f>
        <v/>
      </c>
      <c r="G34" s="22">
        <f>IF(A34="","",IF('02_ASIN原始数据'!F34&gt;='01_动态参数'!B14,1,0))</f>
        <v/>
      </c>
      <c r="H34" s="22">
        <f>IF(A34="","",IF('02_ASIN原始数据'!M34="AMZ",1,0))</f>
        <v/>
      </c>
      <c r="I34" s="22">
        <f>IF(A34="","",IF('02_ASIN原始数据'!E34="", "",RANK('02_ASIN原始数据'!E34,'02_ASIN原始数据'!$E$3:$E$52,0)))</f>
        <v/>
      </c>
      <c r="J34" s="22">
        <f>IF(A34="","",MIN(10,IF('02_ASIN原始数据'!J34&lt;=300,10,IF('02_ASIN原始数据'!J34&lt;=800,8,IF('02_ASIN原始数据'!J34&lt;=1500,5,IF('02_ASIN原始数据'!J34&lt;=3000,2,0))))+IF('02_ASIN原始数据'!P34&lt;=3,2,0)+IF(I34&lt;=10,1,0)))</f>
        <v/>
      </c>
      <c r="K34" s="22">
        <f>IF(A34="","",MIN(10,IF('02_ASIN原始数据'!F34&gt;=50,10,IF('02_ASIN原始数据'!F34&gt;=30,9,IF('02_ASIN原始数据'!F34&gt;=15,7,IF('02_ASIN原始数据'!F34&gt;=5,5,2))))+IF(C34=1,2,0)))</f>
        <v/>
      </c>
      <c r="L34" s="22">
        <f>IF(A34="","",IF(E34=0,0,IF(D34=1,8,3)+IF('02_ASIN原始数据'!N34&gt;='01_动态参数'!B12+10,2,IF('02_ASIN原始数据'!N34&gt;='01_动态参数'!B12,1,0))))</f>
        <v/>
      </c>
      <c r="M34" s="22">
        <f>IF(A34="","",MIN(10,IF('02_ASIN原始数据'!J34&lt;=500,10,IF('02_ASIN原始数据'!J34&lt;=1000,7,IF('02_ASIN原始数据'!J34&lt;=2000,4,1)))+IF(C34=1,2,0)+IF(OR('02_ASIN原始数据'!Q34="Y",'02_ASIN原始数据'!Q34="Yes",'02_ASIN原始数据'!Q34="YES"),1,0)))</f>
        <v/>
      </c>
      <c r="N34" s="22" t="n">
        <v>34</v>
      </c>
    </row>
    <row r="35">
      <c r="A35" s="22">
        <f>'02_ASIN原始数据'!A35</f>
        <v/>
      </c>
      <c r="B35" s="22">
        <f>IF('02_ASIN原始数据'!L35="","",IF(ISNUMBER('02_ASIN原始数据'!L35),TODAY()-'02_ASIN原始数据'!L35,""))</f>
        <v/>
      </c>
      <c r="C35" s="22">
        <f>IF(OR(A35="",B35=""),"",IF(B35&lt;='01_动态参数'!B15,1,0))</f>
        <v/>
      </c>
      <c r="D35" s="22">
        <f>IF(A35="","",IF(AND('02_ASIN原始数据'!D35&gt;='01_动态参数'!B10,'02_ASIN原始数据'!D35&lt;='01_动态参数'!B11),1,0))</f>
        <v/>
      </c>
      <c r="E35" s="22">
        <f>IF(A35="","",IF('02_ASIN原始数据'!N35&gt;='01_动态参数'!B12,1,0))</f>
        <v/>
      </c>
      <c r="F35" s="22">
        <f>IF(A35="","",IF('02_ASIN原始数据'!J35&gt;'01_动态参数'!B13,1,0))</f>
        <v/>
      </c>
      <c r="G35" s="22">
        <f>IF(A35="","",IF('02_ASIN原始数据'!F35&gt;='01_动态参数'!B14,1,0))</f>
        <v/>
      </c>
      <c r="H35" s="22">
        <f>IF(A35="","",IF('02_ASIN原始数据'!M35="AMZ",1,0))</f>
        <v/>
      </c>
      <c r="I35" s="22">
        <f>IF(A35="","",IF('02_ASIN原始数据'!E35="", "",RANK('02_ASIN原始数据'!E35,'02_ASIN原始数据'!$E$3:$E$52,0)))</f>
        <v/>
      </c>
      <c r="J35" s="22">
        <f>IF(A35="","",MIN(10,IF('02_ASIN原始数据'!J35&lt;=300,10,IF('02_ASIN原始数据'!J35&lt;=800,8,IF('02_ASIN原始数据'!J35&lt;=1500,5,IF('02_ASIN原始数据'!J35&lt;=3000,2,0))))+IF('02_ASIN原始数据'!P35&lt;=3,2,0)+IF(I35&lt;=10,1,0)))</f>
        <v/>
      </c>
      <c r="K35" s="22">
        <f>IF(A35="","",MIN(10,IF('02_ASIN原始数据'!F35&gt;=50,10,IF('02_ASIN原始数据'!F35&gt;=30,9,IF('02_ASIN原始数据'!F35&gt;=15,7,IF('02_ASIN原始数据'!F35&gt;=5,5,2))))+IF(C35=1,2,0)))</f>
        <v/>
      </c>
      <c r="L35" s="22">
        <f>IF(A35="","",IF(E35=0,0,IF(D35=1,8,3)+IF('02_ASIN原始数据'!N35&gt;='01_动态参数'!B12+10,2,IF('02_ASIN原始数据'!N35&gt;='01_动态参数'!B12,1,0))))</f>
        <v/>
      </c>
      <c r="M35" s="22">
        <f>IF(A35="","",MIN(10,IF('02_ASIN原始数据'!J35&lt;=500,10,IF('02_ASIN原始数据'!J35&lt;=1000,7,IF('02_ASIN原始数据'!J35&lt;=2000,4,1)))+IF(C35=1,2,0)+IF(OR('02_ASIN原始数据'!Q35="Y",'02_ASIN原始数据'!Q35="Yes",'02_ASIN原始数据'!Q35="YES"),1,0)))</f>
        <v/>
      </c>
      <c r="N35" s="22" t="n">
        <v>35</v>
      </c>
    </row>
    <row r="36">
      <c r="A36" s="22">
        <f>'02_ASIN原始数据'!A36</f>
        <v/>
      </c>
      <c r="B36" s="22">
        <f>IF('02_ASIN原始数据'!L36="","",IF(ISNUMBER('02_ASIN原始数据'!L36),TODAY()-'02_ASIN原始数据'!L36,""))</f>
        <v/>
      </c>
      <c r="C36" s="22">
        <f>IF(OR(A36="",B36=""),"",IF(B36&lt;='01_动态参数'!B15,1,0))</f>
        <v/>
      </c>
      <c r="D36" s="22">
        <f>IF(A36="","",IF(AND('02_ASIN原始数据'!D36&gt;='01_动态参数'!B10,'02_ASIN原始数据'!D36&lt;='01_动态参数'!B11),1,0))</f>
        <v/>
      </c>
      <c r="E36" s="22">
        <f>IF(A36="","",IF('02_ASIN原始数据'!N36&gt;='01_动态参数'!B12,1,0))</f>
        <v/>
      </c>
      <c r="F36" s="22">
        <f>IF(A36="","",IF('02_ASIN原始数据'!J36&gt;'01_动态参数'!B13,1,0))</f>
        <v/>
      </c>
      <c r="G36" s="22">
        <f>IF(A36="","",IF('02_ASIN原始数据'!F36&gt;='01_动态参数'!B14,1,0))</f>
        <v/>
      </c>
      <c r="H36" s="22">
        <f>IF(A36="","",IF('02_ASIN原始数据'!M36="AMZ",1,0))</f>
        <v/>
      </c>
      <c r="I36" s="22">
        <f>IF(A36="","",IF('02_ASIN原始数据'!E36="", "",RANK('02_ASIN原始数据'!E36,'02_ASIN原始数据'!$E$3:$E$52,0)))</f>
        <v/>
      </c>
      <c r="J36" s="22">
        <f>IF(A36="","",MIN(10,IF('02_ASIN原始数据'!J36&lt;=300,10,IF('02_ASIN原始数据'!J36&lt;=800,8,IF('02_ASIN原始数据'!J36&lt;=1500,5,IF('02_ASIN原始数据'!J36&lt;=3000,2,0))))+IF('02_ASIN原始数据'!P36&lt;=3,2,0)+IF(I36&lt;=10,1,0)))</f>
        <v/>
      </c>
      <c r="K36" s="22">
        <f>IF(A36="","",MIN(10,IF('02_ASIN原始数据'!F36&gt;=50,10,IF('02_ASIN原始数据'!F36&gt;=30,9,IF('02_ASIN原始数据'!F36&gt;=15,7,IF('02_ASIN原始数据'!F36&gt;=5,5,2))))+IF(C36=1,2,0)))</f>
        <v/>
      </c>
      <c r="L36" s="22">
        <f>IF(A36="","",IF(E36=0,0,IF(D36=1,8,3)+IF('02_ASIN原始数据'!N36&gt;='01_动态参数'!B12+10,2,IF('02_ASIN原始数据'!N36&gt;='01_动态参数'!B12,1,0))))</f>
        <v/>
      </c>
      <c r="M36" s="22">
        <f>IF(A36="","",MIN(10,IF('02_ASIN原始数据'!J36&lt;=500,10,IF('02_ASIN原始数据'!J36&lt;=1000,7,IF('02_ASIN原始数据'!J36&lt;=2000,4,1)))+IF(C36=1,2,0)+IF(OR('02_ASIN原始数据'!Q36="Y",'02_ASIN原始数据'!Q36="Yes",'02_ASIN原始数据'!Q36="YES"),1,0)))</f>
        <v/>
      </c>
      <c r="N36" s="22" t="n">
        <v>36</v>
      </c>
    </row>
    <row r="37">
      <c r="A37" s="22">
        <f>'02_ASIN原始数据'!A37</f>
        <v/>
      </c>
      <c r="B37" s="22">
        <f>IF('02_ASIN原始数据'!L37="","",IF(ISNUMBER('02_ASIN原始数据'!L37),TODAY()-'02_ASIN原始数据'!L37,""))</f>
        <v/>
      </c>
      <c r="C37" s="22">
        <f>IF(OR(A37="",B37=""),"",IF(B37&lt;='01_动态参数'!B15,1,0))</f>
        <v/>
      </c>
      <c r="D37" s="22">
        <f>IF(A37="","",IF(AND('02_ASIN原始数据'!D37&gt;='01_动态参数'!B10,'02_ASIN原始数据'!D37&lt;='01_动态参数'!B11),1,0))</f>
        <v/>
      </c>
      <c r="E37" s="22">
        <f>IF(A37="","",IF('02_ASIN原始数据'!N37&gt;='01_动态参数'!B12,1,0))</f>
        <v/>
      </c>
      <c r="F37" s="22">
        <f>IF(A37="","",IF('02_ASIN原始数据'!J37&gt;'01_动态参数'!B13,1,0))</f>
        <v/>
      </c>
      <c r="G37" s="22">
        <f>IF(A37="","",IF('02_ASIN原始数据'!F37&gt;='01_动态参数'!B14,1,0))</f>
        <v/>
      </c>
      <c r="H37" s="22">
        <f>IF(A37="","",IF('02_ASIN原始数据'!M37="AMZ",1,0))</f>
        <v/>
      </c>
      <c r="I37" s="22">
        <f>IF(A37="","",IF('02_ASIN原始数据'!E37="", "",RANK('02_ASIN原始数据'!E37,'02_ASIN原始数据'!$E$3:$E$52,0)))</f>
        <v/>
      </c>
      <c r="J37" s="22">
        <f>IF(A37="","",MIN(10,IF('02_ASIN原始数据'!J37&lt;=300,10,IF('02_ASIN原始数据'!J37&lt;=800,8,IF('02_ASIN原始数据'!J37&lt;=1500,5,IF('02_ASIN原始数据'!J37&lt;=3000,2,0))))+IF('02_ASIN原始数据'!P37&lt;=3,2,0)+IF(I37&lt;=10,1,0)))</f>
        <v/>
      </c>
      <c r="K37" s="22">
        <f>IF(A37="","",MIN(10,IF('02_ASIN原始数据'!F37&gt;=50,10,IF('02_ASIN原始数据'!F37&gt;=30,9,IF('02_ASIN原始数据'!F37&gt;=15,7,IF('02_ASIN原始数据'!F37&gt;=5,5,2))))+IF(C37=1,2,0)))</f>
        <v/>
      </c>
      <c r="L37" s="22">
        <f>IF(A37="","",IF(E37=0,0,IF(D37=1,8,3)+IF('02_ASIN原始数据'!N37&gt;='01_动态参数'!B12+10,2,IF('02_ASIN原始数据'!N37&gt;='01_动态参数'!B12,1,0))))</f>
        <v/>
      </c>
      <c r="M37" s="22">
        <f>IF(A37="","",MIN(10,IF('02_ASIN原始数据'!J37&lt;=500,10,IF('02_ASIN原始数据'!J37&lt;=1000,7,IF('02_ASIN原始数据'!J37&lt;=2000,4,1)))+IF(C37=1,2,0)+IF(OR('02_ASIN原始数据'!Q37="Y",'02_ASIN原始数据'!Q37="Yes",'02_ASIN原始数据'!Q37="YES"),1,0)))</f>
        <v/>
      </c>
      <c r="N37" s="22" t="n">
        <v>37</v>
      </c>
    </row>
    <row r="38">
      <c r="A38" s="22">
        <f>'02_ASIN原始数据'!A38</f>
        <v/>
      </c>
      <c r="B38" s="22">
        <f>IF('02_ASIN原始数据'!L38="","",IF(ISNUMBER('02_ASIN原始数据'!L38),TODAY()-'02_ASIN原始数据'!L38,""))</f>
        <v/>
      </c>
      <c r="C38" s="22">
        <f>IF(OR(A38="",B38=""),"",IF(B38&lt;='01_动态参数'!B15,1,0))</f>
        <v/>
      </c>
      <c r="D38" s="22">
        <f>IF(A38="","",IF(AND('02_ASIN原始数据'!D38&gt;='01_动态参数'!B10,'02_ASIN原始数据'!D38&lt;='01_动态参数'!B11),1,0))</f>
        <v/>
      </c>
      <c r="E38" s="22">
        <f>IF(A38="","",IF('02_ASIN原始数据'!N38&gt;='01_动态参数'!B12,1,0))</f>
        <v/>
      </c>
      <c r="F38" s="22">
        <f>IF(A38="","",IF('02_ASIN原始数据'!J38&gt;'01_动态参数'!B13,1,0))</f>
        <v/>
      </c>
      <c r="G38" s="22">
        <f>IF(A38="","",IF('02_ASIN原始数据'!F38&gt;='01_动态参数'!B14,1,0))</f>
        <v/>
      </c>
      <c r="H38" s="22">
        <f>IF(A38="","",IF('02_ASIN原始数据'!M38="AMZ",1,0))</f>
        <v/>
      </c>
      <c r="I38" s="22">
        <f>IF(A38="","",IF('02_ASIN原始数据'!E38="", "",RANK('02_ASIN原始数据'!E38,'02_ASIN原始数据'!$E$3:$E$52,0)))</f>
        <v/>
      </c>
      <c r="J38" s="22">
        <f>IF(A38="","",MIN(10,IF('02_ASIN原始数据'!J38&lt;=300,10,IF('02_ASIN原始数据'!J38&lt;=800,8,IF('02_ASIN原始数据'!J38&lt;=1500,5,IF('02_ASIN原始数据'!J38&lt;=3000,2,0))))+IF('02_ASIN原始数据'!P38&lt;=3,2,0)+IF(I38&lt;=10,1,0)))</f>
        <v/>
      </c>
      <c r="K38" s="22">
        <f>IF(A38="","",MIN(10,IF('02_ASIN原始数据'!F38&gt;=50,10,IF('02_ASIN原始数据'!F38&gt;=30,9,IF('02_ASIN原始数据'!F38&gt;=15,7,IF('02_ASIN原始数据'!F38&gt;=5,5,2))))+IF(C38=1,2,0)))</f>
        <v/>
      </c>
      <c r="L38" s="22">
        <f>IF(A38="","",IF(E38=0,0,IF(D38=1,8,3)+IF('02_ASIN原始数据'!N38&gt;='01_动态参数'!B12+10,2,IF('02_ASIN原始数据'!N38&gt;='01_动态参数'!B12,1,0))))</f>
        <v/>
      </c>
      <c r="M38" s="22">
        <f>IF(A38="","",MIN(10,IF('02_ASIN原始数据'!J38&lt;=500,10,IF('02_ASIN原始数据'!J38&lt;=1000,7,IF('02_ASIN原始数据'!J38&lt;=2000,4,1)))+IF(C38=1,2,0)+IF(OR('02_ASIN原始数据'!Q38="Y",'02_ASIN原始数据'!Q38="Yes",'02_ASIN原始数据'!Q38="YES"),1,0)))</f>
        <v/>
      </c>
      <c r="N38" s="22" t="n">
        <v>38</v>
      </c>
    </row>
    <row r="39">
      <c r="A39" s="22">
        <f>'02_ASIN原始数据'!A39</f>
        <v/>
      </c>
      <c r="B39" s="22">
        <f>IF('02_ASIN原始数据'!L39="","",IF(ISNUMBER('02_ASIN原始数据'!L39),TODAY()-'02_ASIN原始数据'!L39,""))</f>
        <v/>
      </c>
      <c r="C39" s="22">
        <f>IF(OR(A39="",B39=""),"",IF(B39&lt;='01_动态参数'!B15,1,0))</f>
        <v/>
      </c>
      <c r="D39" s="22">
        <f>IF(A39="","",IF(AND('02_ASIN原始数据'!D39&gt;='01_动态参数'!B10,'02_ASIN原始数据'!D39&lt;='01_动态参数'!B11),1,0))</f>
        <v/>
      </c>
      <c r="E39" s="22">
        <f>IF(A39="","",IF('02_ASIN原始数据'!N39&gt;='01_动态参数'!B12,1,0))</f>
        <v/>
      </c>
      <c r="F39" s="22">
        <f>IF(A39="","",IF('02_ASIN原始数据'!J39&gt;'01_动态参数'!B13,1,0))</f>
        <v/>
      </c>
      <c r="G39" s="22">
        <f>IF(A39="","",IF('02_ASIN原始数据'!F39&gt;='01_动态参数'!B14,1,0))</f>
        <v/>
      </c>
      <c r="H39" s="22">
        <f>IF(A39="","",IF('02_ASIN原始数据'!M39="AMZ",1,0))</f>
        <v/>
      </c>
      <c r="I39" s="22">
        <f>IF(A39="","",IF('02_ASIN原始数据'!E39="", "",RANK('02_ASIN原始数据'!E39,'02_ASIN原始数据'!$E$3:$E$52,0)))</f>
        <v/>
      </c>
      <c r="J39" s="22">
        <f>IF(A39="","",MIN(10,IF('02_ASIN原始数据'!J39&lt;=300,10,IF('02_ASIN原始数据'!J39&lt;=800,8,IF('02_ASIN原始数据'!J39&lt;=1500,5,IF('02_ASIN原始数据'!J39&lt;=3000,2,0))))+IF('02_ASIN原始数据'!P39&lt;=3,2,0)+IF(I39&lt;=10,1,0)))</f>
        <v/>
      </c>
      <c r="K39" s="22">
        <f>IF(A39="","",MIN(10,IF('02_ASIN原始数据'!F39&gt;=50,10,IF('02_ASIN原始数据'!F39&gt;=30,9,IF('02_ASIN原始数据'!F39&gt;=15,7,IF('02_ASIN原始数据'!F39&gt;=5,5,2))))+IF(C39=1,2,0)))</f>
        <v/>
      </c>
      <c r="L39" s="22">
        <f>IF(A39="","",IF(E39=0,0,IF(D39=1,8,3)+IF('02_ASIN原始数据'!N39&gt;='01_动态参数'!B12+10,2,IF('02_ASIN原始数据'!N39&gt;='01_动态参数'!B12,1,0))))</f>
        <v/>
      </c>
      <c r="M39" s="22">
        <f>IF(A39="","",MIN(10,IF('02_ASIN原始数据'!J39&lt;=500,10,IF('02_ASIN原始数据'!J39&lt;=1000,7,IF('02_ASIN原始数据'!J39&lt;=2000,4,1)))+IF(C39=1,2,0)+IF(OR('02_ASIN原始数据'!Q39="Y",'02_ASIN原始数据'!Q39="Yes",'02_ASIN原始数据'!Q39="YES"),1,0)))</f>
        <v/>
      </c>
      <c r="N39" s="22" t="n">
        <v>39</v>
      </c>
    </row>
    <row r="40">
      <c r="A40" s="22">
        <f>'02_ASIN原始数据'!A40</f>
        <v/>
      </c>
      <c r="B40" s="22">
        <f>IF('02_ASIN原始数据'!L40="","",IF(ISNUMBER('02_ASIN原始数据'!L40),TODAY()-'02_ASIN原始数据'!L40,""))</f>
        <v/>
      </c>
      <c r="C40" s="22">
        <f>IF(OR(A40="",B40=""),"",IF(B40&lt;='01_动态参数'!B15,1,0))</f>
        <v/>
      </c>
      <c r="D40" s="22">
        <f>IF(A40="","",IF(AND('02_ASIN原始数据'!D40&gt;='01_动态参数'!B10,'02_ASIN原始数据'!D40&lt;='01_动态参数'!B11),1,0))</f>
        <v/>
      </c>
      <c r="E40" s="22">
        <f>IF(A40="","",IF('02_ASIN原始数据'!N40&gt;='01_动态参数'!B12,1,0))</f>
        <v/>
      </c>
      <c r="F40" s="22">
        <f>IF(A40="","",IF('02_ASIN原始数据'!J40&gt;'01_动态参数'!B13,1,0))</f>
        <v/>
      </c>
      <c r="G40" s="22">
        <f>IF(A40="","",IF('02_ASIN原始数据'!F40&gt;='01_动态参数'!B14,1,0))</f>
        <v/>
      </c>
      <c r="H40" s="22">
        <f>IF(A40="","",IF('02_ASIN原始数据'!M40="AMZ",1,0))</f>
        <v/>
      </c>
      <c r="I40" s="22">
        <f>IF(A40="","",IF('02_ASIN原始数据'!E40="", "",RANK('02_ASIN原始数据'!E40,'02_ASIN原始数据'!$E$3:$E$52,0)))</f>
        <v/>
      </c>
      <c r="J40" s="22">
        <f>IF(A40="","",MIN(10,IF('02_ASIN原始数据'!J40&lt;=300,10,IF('02_ASIN原始数据'!J40&lt;=800,8,IF('02_ASIN原始数据'!J40&lt;=1500,5,IF('02_ASIN原始数据'!J40&lt;=3000,2,0))))+IF('02_ASIN原始数据'!P40&lt;=3,2,0)+IF(I40&lt;=10,1,0)))</f>
        <v/>
      </c>
      <c r="K40" s="22">
        <f>IF(A40="","",MIN(10,IF('02_ASIN原始数据'!F40&gt;=50,10,IF('02_ASIN原始数据'!F40&gt;=30,9,IF('02_ASIN原始数据'!F40&gt;=15,7,IF('02_ASIN原始数据'!F40&gt;=5,5,2))))+IF(C40=1,2,0)))</f>
        <v/>
      </c>
      <c r="L40" s="22">
        <f>IF(A40="","",IF(E40=0,0,IF(D40=1,8,3)+IF('02_ASIN原始数据'!N40&gt;='01_动态参数'!B12+10,2,IF('02_ASIN原始数据'!N40&gt;='01_动态参数'!B12,1,0))))</f>
        <v/>
      </c>
      <c r="M40" s="22">
        <f>IF(A40="","",MIN(10,IF('02_ASIN原始数据'!J40&lt;=500,10,IF('02_ASIN原始数据'!J40&lt;=1000,7,IF('02_ASIN原始数据'!J40&lt;=2000,4,1)))+IF(C40=1,2,0)+IF(OR('02_ASIN原始数据'!Q40="Y",'02_ASIN原始数据'!Q40="Yes",'02_ASIN原始数据'!Q40="YES"),1,0)))</f>
        <v/>
      </c>
      <c r="N40" s="22" t="n">
        <v>40</v>
      </c>
    </row>
    <row r="41">
      <c r="A41" s="22">
        <f>'02_ASIN原始数据'!A41</f>
        <v/>
      </c>
      <c r="B41" s="22">
        <f>IF('02_ASIN原始数据'!L41="","",IF(ISNUMBER('02_ASIN原始数据'!L41),TODAY()-'02_ASIN原始数据'!L41,""))</f>
        <v/>
      </c>
      <c r="C41" s="22">
        <f>IF(OR(A41="",B41=""),"",IF(B41&lt;='01_动态参数'!B15,1,0))</f>
        <v/>
      </c>
      <c r="D41" s="22">
        <f>IF(A41="","",IF(AND('02_ASIN原始数据'!D41&gt;='01_动态参数'!B10,'02_ASIN原始数据'!D41&lt;='01_动态参数'!B11),1,0))</f>
        <v/>
      </c>
      <c r="E41" s="22">
        <f>IF(A41="","",IF('02_ASIN原始数据'!N41&gt;='01_动态参数'!B12,1,0))</f>
        <v/>
      </c>
      <c r="F41" s="22">
        <f>IF(A41="","",IF('02_ASIN原始数据'!J41&gt;'01_动态参数'!B13,1,0))</f>
        <v/>
      </c>
      <c r="G41" s="22">
        <f>IF(A41="","",IF('02_ASIN原始数据'!F41&gt;='01_动态参数'!B14,1,0))</f>
        <v/>
      </c>
      <c r="H41" s="22">
        <f>IF(A41="","",IF('02_ASIN原始数据'!M41="AMZ",1,0))</f>
        <v/>
      </c>
      <c r="I41" s="22">
        <f>IF(A41="","",IF('02_ASIN原始数据'!E41="", "",RANK('02_ASIN原始数据'!E41,'02_ASIN原始数据'!$E$3:$E$52,0)))</f>
        <v/>
      </c>
      <c r="J41" s="22">
        <f>IF(A41="","",MIN(10,IF('02_ASIN原始数据'!J41&lt;=300,10,IF('02_ASIN原始数据'!J41&lt;=800,8,IF('02_ASIN原始数据'!J41&lt;=1500,5,IF('02_ASIN原始数据'!J41&lt;=3000,2,0))))+IF('02_ASIN原始数据'!P41&lt;=3,2,0)+IF(I41&lt;=10,1,0)))</f>
        <v/>
      </c>
      <c r="K41" s="22">
        <f>IF(A41="","",MIN(10,IF('02_ASIN原始数据'!F41&gt;=50,10,IF('02_ASIN原始数据'!F41&gt;=30,9,IF('02_ASIN原始数据'!F41&gt;=15,7,IF('02_ASIN原始数据'!F41&gt;=5,5,2))))+IF(C41=1,2,0)))</f>
        <v/>
      </c>
      <c r="L41" s="22">
        <f>IF(A41="","",IF(E41=0,0,IF(D41=1,8,3)+IF('02_ASIN原始数据'!N41&gt;='01_动态参数'!B12+10,2,IF('02_ASIN原始数据'!N41&gt;='01_动态参数'!B12,1,0))))</f>
        <v/>
      </c>
      <c r="M41" s="22">
        <f>IF(A41="","",MIN(10,IF('02_ASIN原始数据'!J41&lt;=500,10,IF('02_ASIN原始数据'!J41&lt;=1000,7,IF('02_ASIN原始数据'!J41&lt;=2000,4,1)))+IF(C41=1,2,0)+IF(OR('02_ASIN原始数据'!Q41="Y",'02_ASIN原始数据'!Q41="Yes",'02_ASIN原始数据'!Q41="YES"),1,0)))</f>
        <v/>
      </c>
      <c r="N41" s="22" t="n">
        <v>41</v>
      </c>
    </row>
    <row r="42">
      <c r="A42" s="22">
        <f>'02_ASIN原始数据'!A42</f>
        <v/>
      </c>
      <c r="B42" s="22">
        <f>IF('02_ASIN原始数据'!L42="","",IF(ISNUMBER('02_ASIN原始数据'!L42),TODAY()-'02_ASIN原始数据'!L42,""))</f>
        <v/>
      </c>
      <c r="C42" s="22">
        <f>IF(OR(A42="",B42=""),"",IF(B42&lt;='01_动态参数'!B15,1,0))</f>
        <v/>
      </c>
      <c r="D42" s="22">
        <f>IF(A42="","",IF(AND('02_ASIN原始数据'!D42&gt;='01_动态参数'!B10,'02_ASIN原始数据'!D42&lt;='01_动态参数'!B11),1,0))</f>
        <v/>
      </c>
      <c r="E42" s="22">
        <f>IF(A42="","",IF('02_ASIN原始数据'!N42&gt;='01_动态参数'!B12,1,0))</f>
        <v/>
      </c>
      <c r="F42" s="22">
        <f>IF(A42="","",IF('02_ASIN原始数据'!J42&gt;'01_动态参数'!B13,1,0))</f>
        <v/>
      </c>
      <c r="G42" s="22">
        <f>IF(A42="","",IF('02_ASIN原始数据'!F42&gt;='01_动态参数'!B14,1,0))</f>
        <v/>
      </c>
      <c r="H42" s="22">
        <f>IF(A42="","",IF('02_ASIN原始数据'!M42="AMZ",1,0))</f>
        <v/>
      </c>
      <c r="I42" s="22">
        <f>IF(A42="","",IF('02_ASIN原始数据'!E42="", "",RANK('02_ASIN原始数据'!E42,'02_ASIN原始数据'!$E$3:$E$52,0)))</f>
        <v/>
      </c>
      <c r="J42" s="22">
        <f>IF(A42="","",MIN(10,IF('02_ASIN原始数据'!J42&lt;=300,10,IF('02_ASIN原始数据'!J42&lt;=800,8,IF('02_ASIN原始数据'!J42&lt;=1500,5,IF('02_ASIN原始数据'!J42&lt;=3000,2,0))))+IF('02_ASIN原始数据'!P42&lt;=3,2,0)+IF(I42&lt;=10,1,0)))</f>
        <v/>
      </c>
      <c r="K42" s="22">
        <f>IF(A42="","",MIN(10,IF('02_ASIN原始数据'!F42&gt;=50,10,IF('02_ASIN原始数据'!F42&gt;=30,9,IF('02_ASIN原始数据'!F42&gt;=15,7,IF('02_ASIN原始数据'!F42&gt;=5,5,2))))+IF(C42=1,2,0)))</f>
        <v/>
      </c>
      <c r="L42" s="22">
        <f>IF(A42="","",IF(E42=0,0,IF(D42=1,8,3)+IF('02_ASIN原始数据'!N42&gt;='01_动态参数'!B12+10,2,IF('02_ASIN原始数据'!N42&gt;='01_动态参数'!B12,1,0))))</f>
        <v/>
      </c>
      <c r="M42" s="22">
        <f>IF(A42="","",MIN(10,IF('02_ASIN原始数据'!J42&lt;=500,10,IF('02_ASIN原始数据'!J42&lt;=1000,7,IF('02_ASIN原始数据'!J42&lt;=2000,4,1)))+IF(C42=1,2,0)+IF(OR('02_ASIN原始数据'!Q42="Y",'02_ASIN原始数据'!Q42="Yes",'02_ASIN原始数据'!Q42="YES"),1,0)))</f>
        <v/>
      </c>
      <c r="N42" s="22" t="n">
        <v>42</v>
      </c>
    </row>
    <row r="43">
      <c r="A43" s="22">
        <f>'02_ASIN原始数据'!A43</f>
        <v/>
      </c>
      <c r="B43" s="22">
        <f>IF('02_ASIN原始数据'!L43="","",IF(ISNUMBER('02_ASIN原始数据'!L43),TODAY()-'02_ASIN原始数据'!L43,""))</f>
        <v/>
      </c>
      <c r="C43" s="22">
        <f>IF(OR(A43="",B43=""),"",IF(B43&lt;='01_动态参数'!B15,1,0))</f>
        <v/>
      </c>
      <c r="D43" s="22">
        <f>IF(A43="","",IF(AND('02_ASIN原始数据'!D43&gt;='01_动态参数'!B10,'02_ASIN原始数据'!D43&lt;='01_动态参数'!B11),1,0))</f>
        <v/>
      </c>
      <c r="E43" s="22">
        <f>IF(A43="","",IF('02_ASIN原始数据'!N43&gt;='01_动态参数'!B12,1,0))</f>
        <v/>
      </c>
      <c r="F43" s="22">
        <f>IF(A43="","",IF('02_ASIN原始数据'!J43&gt;'01_动态参数'!B13,1,0))</f>
        <v/>
      </c>
      <c r="G43" s="22">
        <f>IF(A43="","",IF('02_ASIN原始数据'!F43&gt;='01_动态参数'!B14,1,0))</f>
        <v/>
      </c>
      <c r="H43" s="22">
        <f>IF(A43="","",IF('02_ASIN原始数据'!M43="AMZ",1,0))</f>
        <v/>
      </c>
      <c r="I43" s="22">
        <f>IF(A43="","",IF('02_ASIN原始数据'!E43="", "",RANK('02_ASIN原始数据'!E43,'02_ASIN原始数据'!$E$3:$E$52,0)))</f>
        <v/>
      </c>
      <c r="J43" s="22">
        <f>IF(A43="","",MIN(10,IF('02_ASIN原始数据'!J43&lt;=300,10,IF('02_ASIN原始数据'!J43&lt;=800,8,IF('02_ASIN原始数据'!J43&lt;=1500,5,IF('02_ASIN原始数据'!J43&lt;=3000,2,0))))+IF('02_ASIN原始数据'!P43&lt;=3,2,0)+IF(I43&lt;=10,1,0)))</f>
        <v/>
      </c>
      <c r="K43" s="22">
        <f>IF(A43="","",MIN(10,IF('02_ASIN原始数据'!F43&gt;=50,10,IF('02_ASIN原始数据'!F43&gt;=30,9,IF('02_ASIN原始数据'!F43&gt;=15,7,IF('02_ASIN原始数据'!F43&gt;=5,5,2))))+IF(C43=1,2,0)))</f>
        <v/>
      </c>
      <c r="L43" s="22">
        <f>IF(A43="","",IF(E43=0,0,IF(D43=1,8,3)+IF('02_ASIN原始数据'!N43&gt;='01_动态参数'!B12+10,2,IF('02_ASIN原始数据'!N43&gt;='01_动态参数'!B12,1,0))))</f>
        <v/>
      </c>
      <c r="M43" s="22">
        <f>IF(A43="","",MIN(10,IF('02_ASIN原始数据'!J43&lt;=500,10,IF('02_ASIN原始数据'!J43&lt;=1000,7,IF('02_ASIN原始数据'!J43&lt;=2000,4,1)))+IF(C43=1,2,0)+IF(OR('02_ASIN原始数据'!Q43="Y",'02_ASIN原始数据'!Q43="Yes",'02_ASIN原始数据'!Q43="YES"),1,0)))</f>
        <v/>
      </c>
      <c r="N43" s="22" t="n">
        <v>43</v>
      </c>
    </row>
    <row r="44">
      <c r="A44" s="22">
        <f>'02_ASIN原始数据'!A44</f>
        <v/>
      </c>
      <c r="B44" s="22">
        <f>IF('02_ASIN原始数据'!L44="","",IF(ISNUMBER('02_ASIN原始数据'!L44),TODAY()-'02_ASIN原始数据'!L44,""))</f>
        <v/>
      </c>
      <c r="C44" s="22">
        <f>IF(OR(A44="",B44=""),"",IF(B44&lt;='01_动态参数'!B15,1,0))</f>
        <v/>
      </c>
      <c r="D44" s="22">
        <f>IF(A44="","",IF(AND('02_ASIN原始数据'!D44&gt;='01_动态参数'!B10,'02_ASIN原始数据'!D44&lt;='01_动态参数'!B11),1,0))</f>
        <v/>
      </c>
      <c r="E44" s="22">
        <f>IF(A44="","",IF('02_ASIN原始数据'!N44&gt;='01_动态参数'!B12,1,0))</f>
        <v/>
      </c>
      <c r="F44" s="22">
        <f>IF(A44="","",IF('02_ASIN原始数据'!J44&gt;'01_动态参数'!B13,1,0))</f>
        <v/>
      </c>
      <c r="G44" s="22">
        <f>IF(A44="","",IF('02_ASIN原始数据'!F44&gt;='01_动态参数'!B14,1,0))</f>
        <v/>
      </c>
      <c r="H44" s="22">
        <f>IF(A44="","",IF('02_ASIN原始数据'!M44="AMZ",1,0))</f>
        <v/>
      </c>
      <c r="I44" s="22">
        <f>IF(A44="","",IF('02_ASIN原始数据'!E44="", "",RANK('02_ASIN原始数据'!E44,'02_ASIN原始数据'!$E$3:$E$52,0)))</f>
        <v/>
      </c>
      <c r="J44" s="22">
        <f>IF(A44="","",MIN(10,IF('02_ASIN原始数据'!J44&lt;=300,10,IF('02_ASIN原始数据'!J44&lt;=800,8,IF('02_ASIN原始数据'!J44&lt;=1500,5,IF('02_ASIN原始数据'!J44&lt;=3000,2,0))))+IF('02_ASIN原始数据'!P44&lt;=3,2,0)+IF(I44&lt;=10,1,0)))</f>
        <v/>
      </c>
      <c r="K44" s="22">
        <f>IF(A44="","",MIN(10,IF('02_ASIN原始数据'!F44&gt;=50,10,IF('02_ASIN原始数据'!F44&gt;=30,9,IF('02_ASIN原始数据'!F44&gt;=15,7,IF('02_ASIN原始数据'!F44&gt;=5,5,2))))+IF(C44=1,2,0)))</f>
        <v/>
      </c>
      <c r="L44" s="22">
        <f>IF(A44="","",IF(E44=0,0,IF(D44=1,8,3)+IF('02_ASIN原始数据'!N44&gt;='01_动态参数'!B12+10,2,IF('02_ASIN原始数据'!N44&gt;='01_动态参数'!B12,1,0))))</f>
        <v/>
      </c>
      <c r="M44" s="22">
        <f>IF(A44="","",MIN(10,IF('02_ASIN原始数据'!J44&lt;=500,10,IF('02_ASIN原始数据'!J44&lt;=1000,7,IF('02_ASIN原始数据'!J44&lt;=2000,4,1)))+IF(C44=1,2,0)+IF(OR('02_ASIN原始数据'!Q44="Y",'02_ASIN原始数据'!Q44="Yes",'02_ASIN原始数据'!Q44="YES"),1,0)))</f>
        <v/>
      </c>
      <c r="N44" s="22" t="n">
        <v>44</v>
      </c>
    </row>
    <row r="45">
      <c r="A45" s="22">
        <f>'02_ASIN原始数据'!A45</f>
        <v/>
      </c>
      <c r="B45" s="22">
        <f>IF('02_ASIN原始数据'!L45="","",IF(ISNUMBER('02_ASIN原始数据'!L45),TODAY()-'02_ASIN原始数据'!L45,""))</f>
        <v/>
      </c>
      <c r="C45" s="22">
        <f>IF(OR(A45="",B45=""),"",IF(B45&lt;='01_动态参数'!B15,1,0))</f>
        <v/>
      </c>
      <c r="D45" s="22">
        <f>IF(A45="","",IF(AND('02_ASIN原始数据'!D45&gt;='01_动态参数'!B10,'02_ASIN原始数据'!D45&lt;='01_动态参数'!B11),1,0))</f>
        <v/>
      </c>
      <c r="E45" s="22">
        <f>IF(A45="","",IF('02_ASIN原始数据'!N45&gt;='01_动态参数'!B12,1,0))</f>
        <v/>
      </c>
      <c r="F45" s="22">
        <f>IF(A45="","",IF('02_ASIN原始数据'!J45&gt;'01_动态参数'!B13,1,0))</f>
        <v/>
      </c>
      <c r="G45" s="22">
        <f>IF(A45="","",IF('02_ASIN原始数据'!F45&gt;='01_动态参数'!B14,1,0))</f>
        <v/>
      </c>
      <c r="H45" s="22">
        <f>IF(A45="","",IF('02_ASIN原始数据'!M45="AMZ",1,0))</f>
        <v/>
      </c>
      <c r="I45" s="22">
        <f>IF(A45="","",IF('02_ASIN原始数据'!E45="", "",RANK('02_ASIN原始数据'!E45,'02_ASIN原始数据'!$E$3:$E$52,0)))</f>
        <v/>
      </c>
      <c r="J45" s="22">
        <f>IF(A45="","",MIN(10,IF('02_ASIN原始数据'!J45&lt;=300,10,IF('02_ASIN原始数据'!J45&lt;=800,8,IF('02_ASIN原始数据'!J45&lt;=1500,5,IF('02_ASIN原始数据'!J45&lt;=3000,2,0))))+IF('02_ASIN原始数据'!P45&lt;=3,2,0)+IF(I45&lt;=10,1,0)))</f>
        <v/>
      </c>
      <c r="K45" s="22">
        <f>IF(A45="","",MIN(10,IF('02_ASIN原始数据'!F45&gt;=50,10,IF('02_ASIN原始数据'!F45&gt;=30,9,IF('02_ASIN原始数据'!F45&gt;=15,7,IF('02_ASIN原始数据'!F45&gt;=5,5,2))))+IF(C45=1,2,0)))</f>
        <v/>
      </c>
      <c r="L45" s="22">
        <f>IF(A45="","",IF(E45=0,0,IF(D45=1,8,3)+IF('02_ASIN原始数据'!N45&gt;='01_动态参数'!B12+10,2,IF('02_ASIN原始数据'!N45&gt;='01_动态参数'!B12,1,0))))</f>
        <v/>
      </c>
      <c r="M45" s="22">
        <f>IF(A45="","",MIN(10,IF('02_ASIN原始数据'!J45&lt;=500,10,IF('02_ASIN原始数据'!J45&lt;=1000,7,IF('02_ASIN原始数据'!J45&lt;=2000,4,1)))+IF(C45=1,2,0)+IF(OR('02_ASIN原始数据'!Q45="Y",'02_ASIN原始数据'!Q45="Yes",'02_ASIN原始数据'!Q45="YES"),1,0)))</f>
        <v/>
      </c>
      <c r="N45" s="22" t="n">
        <v>45</v>
      </c>
    </row>
    <row r="46">
      <c r="A46" s="22">
        <f>'02_ASIN原始数据'!A46</f>
        <v/>
      </c>
      <c r="B46" s="22">
        <f>IF('02_ASIN原始数据'!L46="","",IF(ISNUMBER('02_ASIN原始数据'!L46),TODAY()-'02_ASIN原始数据'!L46,""))</f>
        <v/>
      </c>
      <c r="C46" s="22">
        <f>IF(OR(A46="",B46=""),"",IF(B46&lt;='01_动态参数'!B15,1,0))</f>
        <v/>
      </c>
      <c r="D46" s="22">
        <f>IF(A46="","",IF(AND('02_ASIN原始数据'!D46&gt;='01_动态参数'!B10,'02_ASIN原始数据'!D46&lt;='01_动态参数'!B11),1,0))</f>
        <v/>
      </c>
      <c r="E46" s="22">
        <f>IF(A46="","",IF('02_ASIN原始数据'!N46&gt;='01_动态参数'!B12,1,0))</f>
        <v/>
      </c>
      <c r="F46" s="22">
        <f>IF(A46="","",IF('02_ASIN原始数据'!J46&gt;'01_动态参数'!B13,1,0))</f>
        <v/>
      </c>
      <c r="G46" s="22">
        <f>IF(A46="","",IF('02_ASIN原始数据'!F46&gt;='01_动态参数'!B14,1,0))</f>
        <v/>
      </c>
      <c r="H46" s="22">
        <f>IF(A46="","",IF('02_ASIN原始数据'!M46="AMZ",1,0))</f>
        <v/>
      </c>
      <c r="I46" s="22">
        <f>IF(A46="","",IF('02_ASIN原始数据'!E46="", "",RANK('02_ASIN原始数据'!E46,'02_ASIN原始数据'!$E$3:$E$52,0)))</f>
        <v/>
      </c>
      <c r="J46" s="22">
        <f>IF(A46="","",MIN(10,IF('02_ASIN原始数据'!J46&lt;=300,10,IF('02_ASIN原始数据'!J46&lt;=800,8,IF('02_ASIN原始数据'!J46&lt;=1500,5,IF('02_ASIN原始数据'!J46&lt;=3000,2,0))))+IF('02_ASIN原始数据'!P46&lt;=3,2,0)+IF(I46&lt;=10,1,0)))</f>
        <v/>
      </c>
      <c r="K46" s="22">
        <f>IF(A46="","",MIN(10,IF('02_ASIN原始数据'!F46&gt;=50,10,IF('02_ASIN原始数据'!F46&gt;=30,9,IF('02_ASIN原始数据'!F46&gt;=15,7,IF('02_ASIN原始数据'!F46&gt;=5,5,2))))+IF(C46=1,2,0)))</f>
        <v/>
      </c>
      <c r="L46" s="22">
        <f>IF(A46="","",IF(E46=0,0,IF(D46=1,8,3)+IF('02_ASIN原始数据'!N46&gt;='01_动态参数'!B12+10,2,IF('02_ASIN原始数据'!N46&gt;='01_动态参数'!B12,1,0))))</f>
        <v/>
      </c>
      <c r="M46" s="22">
        <f>IF(A46="","",MIN(10,IF('02_ASIN原始数据'!J46&lt;=500,10,IF('02_ASIN原始数据'!J46&lt;=1000,7,IF('02_ASIN原始数据'!J46&lt;=2000,4,1)))+IF(C46=1,2,0)+IF(OR('02_ASIN原始数据'!Q46="Y",'02_ASIN原始数据'!Q46="Yes",'02_ASIN原始数据'!Q46="YES"),1,0)))</f>
        <v/>
      </c>
      <c r="N46" s="22" t="n">
        <v>46</v>
      </c>
    </row>
    <row r="47">
      <c r="A47" s="22">
        <f>'02_ASIN原始数据'!A47</f>
        <v/>
      </c>
      <c r="B47" s="22">
        <f>IF('02_ASIN原始数据'!L47="","",IF(ISNUMBER('02_ASIN原始数据'!L47),TODAY()-'02_ASIN原始数据'!L47,""))</f>
        <v/>
      </c>
      <c r="C47" s="22">
        <f>IF(OR(A47="",B47=""),"",IF(B47&lt;='01_动态参数'!B15,1,0))</f>
        <v/>
      </c>
      <c r="D47" s="22">
        <f>IF(A47="","",IF(AND('02_ASIN原始数据'!D47&gt;='01_动态参数'!B10,'02_ASIN原始数据'!D47&lt;='01_动态参数'!B11),1,0))</f>
        <v/>
      </c>
      <c r="E47" s="22">
        <f>IF(A47="","",IF('02_ASIN原始数据'!N47&gt;='01_动态参数'!B12,1,0))</f>
        <v/>
      </c>
      <c r="F47" s="22">
        <f>IF(A47="","",IF('02_ASIN原始数据'!J47&gt;'01_动态参数'!B13,1,0))</f>
        <v/>
      </c>
      <c r="G47" s="22">
        <f>IF(A47="","",IF('02_ASIN原始数据'!F47&gt;='01_动态参数'!B14,1,0))</f>
        <v/>
      </c>
      <c r="H47" s="22">
        <f>IF(A47="","",IF('02_ASIN原始数据'!M47="AMZ",1,0))</f>
        <v/>
      </c>
      <c r="I47" s="22">
        <f>IF(A47="","",IF('02_ASIN原始数据'!E47="", "",RANK('02_ASIN原始数据'!E47,'02_ASIN原始数据'!$E$3:$E$52,0)))</f>
        <v/>
      </c>
      <c r="J47" s="22">
        <f>IF(A47="","",MIN(10,IF('02_ASIN原始数据'!J47&lt;=300,10,IF('02_ASIN原始数据'!J47&lt;=800,8,IF('02_ASIN原始数据'!J47&lt;=1500,5,IF('02_ASIN原始数据'!J47&lt;=3000,2,0))))+IF('02_ASIN原始数据'!P47&lt;=3,2,0)+IF(I47&lt;=10,1,0)))</f>
        <v/>
      </c>
      <c r="K47" s="22">
        <f>IF(A47="","",MIN(10,IF('02_ASIN原始数据'!F47&gt;=50,10,IF('02_ASIN原始数据'!F47&gt;=30,9,IF('02_ASIN原始数据'!F47&gt;=15,7,IF('02_ASIN原始数据'!F47&gt;=5,5,2))))+IF(C47=1,2,0)))</f>
        <v/>
      </c>
      <c r="L47" s="22">
        <f>IF(A47="","",IF(E47=0,0,IF(D47=1,8,3)+IF('02_ASIN原始数据'!N47&gt;='01_动态参数'!B12+10,2,IF('02_ASIN原始数据'!N47&gt;='01_动态参数'!B12,1,0))))</f>
        <v/>
      </c>
      <c r="M47" s="22">
        <f>IF(A47="","",MIN(10,IF('02_ASIN原始数据'!J47&lt;=500,10,IF('02_ASIN原始数据'!J47&lt;=1000,7,IF('02_ASIN原始数据'!J47&lt;=2000,4,1)))+IF(C47=1,2,0)+IF(OR('02_ASIN原始数据'!Q47="Y",'02_ASIN原始数据'!Q47="Yes",'02_ASIN原始数据'!Q47="YES"),1,0)))</f>
        <v/>
      </c>
      <c r="N47" s="22" t="n">
        <v>47</v>
      </c>
    </row>
    <row r="48">
      <c r="A48" s="22">
        <f>'02_ASIN原始数据'!A48</f>
        <v/>
      </c>
      <c r="B48" s="22">
        <f>IF('02_ASIN原始数据'!L48="","",IF(ISNUMBER('02_ASIN原始数据'!L48),TODAY()-'02_ASIN原始数据'!L48,""))</f>
        <v/>
      </c>
      <c r="C48" s="22">
        <f>IF(OR(A48="",B48=""),"",IF(B48&lt;='01_动态参数'!B15,1,0))</f>
        <v/>
      </c>
      <c r="D48" s="22">
        <f>IF(A48="","",IF(AND('02_ASIN原始数据'!D48&gt;='01_动态参数'!B10,'02_ASIN原始数据'!D48&lt;='01_动态参数'!B11),1,0))</f>
        <v/>
      </c>
      <c r="E48" s="22">
        <f>IF(A48="","",IF('02_ASIN原始数据'!N48&gt;='01_动态参数'!B12,1,0))</f>
        <v/>
      </c>
      <c r="F48" s="22">
        <f>IF(A48="","",IF('02_ASIN原始数据'!J48&gt;'01_动态参数'!B13,1,0))</f>
        <v/>
      </c>
      <c r="G48" s="22">
        <f>IF(A48="","",IF('02_ASIN原始数据'!F48&gt;='01_动态参数'!B14,1,0))</f>
        <v/>
      </c>
      <c r="H48" s="22">
        <f>IF(A48="","",IF('02_ASIN原始数据'!M48="AMZ",1,0))</f>
        <v/>
      </c>
      <c r="I48" s="22">
        <f>IF(A48="","",IF('02_ASIN原始数据'!E48="", "",RANK('02_ASIN原始数据'!E48,'02_ASIN原始数据'!$E$3:$E$52,0)))</f>
        <v/>
      </c>
      <c r="J48" s="22">
        <f>IF(A48="","",MIN(10,IF('02_ASIN原始数据'!J48&lt;=300,10,IF('02_ASIN原始数据'!J48&lt;=800,8,IF('02_ASIN原始数据'!J48&lt;=1500,5,IF('02_ASIN原始数据'!J48&lt;=3000,2,0))))+IF('02_ASIN原始数据'!P48&lt;=3,2,0)+IF(I48&lt;=10,1,0)))</f>
        <v/>
      </c>
      <c r="K48" s="22">
        <f>IF(A48="","",MIN(10,IF('02_ASIN原始数据'!F48&gt;=50,10,IF('02_ASIN原始数据'!F48&gt;=30,9,IF('02_ASIN原始数据'!F48&gt;=15,7,IF('02_ASIN原始数据'!F48&gt;=5,5,2))))+IF(C48=1,2,0)))</f>
        <v/>
      </c>
      <c r="L48" s="22">
        <f>IF(A48="","",IF(E48=0,0,IF(D48=1,8,3)+IF('02_ASIN原始数据'!N48&gt;='01_动态参数'!B12+10,2,IF('02_ASIN原始数据'!N48&gt;='01_动态参数'!B12,1,0))))</f>
        <v/>
      </c>
      <c r="M48" s="22">
        <f>IF(A48="","",MIN(10,IF('02_ASIN原始数据'!J48&lt;=500,10,IF('02_ASIN原始数据'!J48&lt;=1000,7,IF('02_ASIN原始数据'!J48&lt;=2000,4,1)))+IF(C48=1,2,0)+IF(OR('02_ASIN原始数据'!Q48="Y",'02_ASIN原始数据'!Q48="Yes",'02_ASIN原始数据'!Q48="YES"),1,0)))</f>
        <v/>
      </c>
      <c r="N48" s="22" t="n">
        <v>48</v>
      </c>
    </row>
    <row r="49">
      <c r="A49" s="22">
        <f>'02_ASIN原始数据'!A49</f>
        <v/>
      </c>
      <c r="B49" s="22">
        <f>IF('02_ASIN原始数据'!L49="","",IF(ISNUMBER('02_ASIN原始数据'!L49),TODAY()-'02_ASIN原始数据'!L49,""))</f>
        <v/>
      </c>
      <c r="C49" s="22">
        <f>IF(OR(A49="",B49=""),"",IF(B49&lt;='01_动态参数'!B15,1,0))</f>
        <v/>
      </c>
      <c r="D49" s="22">
        <f>IF(A49="","",IF(AND('02_ASIN原始数据'!D49&gt;='01_动态参数'!B10,'02_ASIN原始数据'!D49&lt;='01_动态参数'!B11),1,0))</f>
        <v/>
      </c>
      <c r="E49" s="22">
        <f>IF(A49="","",IF('02_ASIN原始数据'!N49&gt;='01_动态参数'!B12,1,0))</f>
        <v/>
      </c>
      <c r="F49" s="22">
        <f>IF(A49="","",IF('02_ASIN原始数据'!J49&gt;'01_动态参数'!B13,1,0))</f>
        <v/>
      </c>
      <c r="G49" s="22">
        <f>IF(A49="","",IF('02_ASIN原始数据'!F49&gt;='01_动态参数'!B14,1,0))</f>
        <v/>
      </c>
      <c r="H49" s="22">
        <f>IF(A49="","",IF('02_ASIN原始数据'!M49="AMZ",1,0))</f>
        <v/>
      </c>
      <c r="I49" s="22">
        <f>IF(A49="","",IF('02_ASIN原始数据'!E49="", "",RANK('02_ASIN原始数据'!E49,'02_ASIN原始数据'!$E$3:$E$52,0)))</f>
        <v/>
      </c>
      <c r="J49" s="22">
        <f>IF(A49="","",MIN(10,IF('02_ASIN原始数据'!J49&lt;=300,10,IF('02_ASIN原始数据'!J49&lt;=800,8,IF('02_ASIN原始数据'!J49&lt;=1500,5,IF('02_ASIN原始数据'!J49&lt;=3000,2,0))))+IF('02_ASIN原始数据'!P49&lt;=3,2,0)+IF(I49&lt;=10,1,0)))</f>
        <v/>
      </c>
      <c r="K49" s="22">
        <f>IF(A49="","",MIN(10,IF('02_ASIN原始数据'!F49&gt;=50,10,IF('02_ASIN原始数据'!F49&gt;=30,9,IF('02_ASIN原始数据'!F49&gt;=15,7,IF('02_ASIN原始数据'!F49&gt;=5,5,2))))+IF(C49=1,2,0)))</f>
        <v/>
      </c>
      <c r="L49" s="22">
        <f>IF(A49="","",IF(E49=0,0,IF(D49=1,8,3)+IF('02_ASIN原始数据'!N49&gt;='01_动态参数'!B12+10,2,IF('02_ASIN原始数据'!N49&gt;='01_动态参数'!B12,1,0))))</f>
        <v/>
      </c>
      <c r="M49" s="22">
        <f>IF(A49="","",MIN(10,IF('02_ASIN原始数据'!J49&lt;=500,10,IF('02_ASIN原始数据'!J49&lt;=1000,7,IF('02_ASIN原始数据'!J49&lt;=2000,4,1)))+IF(C49=1,2,0)+IF(OR('02_ASIN原始数据'!Q49="Y",'02_ASIN原始数据'!Q49="Yes",'02_ASIN原始数据'!Q49="YES"),1,0)))</f>
        <v/>
      </c>
      <c r="N49" s="22" t="n">
        <v>49</v>
      </c>
    </row>
    <row r="50">
      <c r="A50" s="22">
        <f>'02_ASIN原始数据'!A50</f>
        <v/>
      </c>
      <c r="B50" s="22">
        <f>IF('02_ASIN原始数据'!L50="","",IF(ISNUMBER('02_ASIN原始数据'!L50),TODAY()-'02_ASIN原始数据'!L50,""))</f>
        <v/>
      </c>
      <c r="C50" s="22">
        <f>IF(OR(A50="",B50=""),"",IF(B50&lt;='01_动态参数'!B15,1,0))</f>
        <v/>
      </c>
      <c r="D50" s="22">
        <f>IF(A50="","",IF(AND('02_ASIN原始数据'!D50&gt;='01_动态参数'!B10,'02_ASIN原始数据'!D50&lt;='01_动态参数'!B11),1,0))</f>
        <v/>
      </c>
      <c r="E50" s="22">
        <f>IF(A50="","",IF('02_ASIN原始数据'!N50&gt;='01_动态参数'!B12,1,0))</f>
        <v/>
      </c>
      <c r="F50" s="22">
        <f>IF(A50="","",IF('02_ASIN原始数据'!J50&gt;'01_动态参数'!B13,1,0))</f>
        <v/>
      </c>
      <c r="G50" s="22">
        <f>IF(A50="","",IF('02_ASIN原始数据'!F50&gt;='01_动态参数'!B14,1,0))</f>
        <v/>
      </c>
      <c r="H50" s="22">
        <f>IF(A50="","",IF('02_ASIN原始数据'!M50="AMZ",1,0))</f>
        <v/>
      </c>
      <c r="I50" s="22">
        <f>IF(A50="","",IF('02_ASIN原始数据'!E50="", "",RANK('02_ASIN原始数据'!E50,'02_ASIN原始数据'!$E$3:$E$52,0)))</f>
        <v/>
      </c>
      <c r="J50" s="22">
        <f>IF(A50="","",MIN(10,IF('02_ASIN原始数据'!J50&lt;=300,10,IF('02_ASIN原始数据'!J50&lt;=800,8,IF('02_ASIN原始数据'!J50&lt;=1500,5,IF('02_ASIN原始数据'!J50&lt;=3000,2,0))))+IF('02_ASIN原始数据'!P50&lt;=3,2,0)+IF(I50&lt;=10,1,0)))</f>
        <v/>
      </c>
      <c r="K50" s="22">
        <f>IF(A50="","",MIN(10,IF('02_ASIN原始数据'!F50&gt;=50,10,IF('02_ASIN原始数据'!F50&gt;=30,9,IF('02_ASIN原始数据'!F50&gt;=15,7,IF('02_ASIN原始数据'!F50&gt;=5,5,2))))+IF(C50=1,2,0)))</f>
        <v/>
      </c>
      <c r="L50" s="22">
        <f>IF(A50="","",IF(E50=0,0,IF(D50=1,8,3)+IF('02_ASIN原始数据'!N50&gt;='01_动态参数'!B12+10,2,IF('02_ASIN原始数据'!N50&gt;='01_动态参数'!B12,1,0))))</f>
        <v/>
      </c>
      <c r="M50" s="22">
        <f>IF(A50="","",MIN(10,IF('02_ASIN原始数据'!J50&lt;=500,10,IF('02_ASIN原始数据'!J50&lt;=1000,7,IF('02_ASIN原始数据'!J50&lt;=2000,4,1)))+IF(C50=1,2,0)+IF(OR('02_ASIN原始数据'!Q50="Y",'02_ASIN原始数据'!Q50="Yes",'02_ASIN原始数据'!Q50="YES"),1,0)))</f>
        <v/>
      </c>
      <c r="N50" s="22" t="n">
        <v>50</v>
      </c>
    </row>
    <row r="51">
      <c r="A51" s="22">
        <f>'02_ASIN原始数据'!A51</f>
        <v/>
      </c>
      <c r="B51" s="22">
        <f>IF('02_ASIN原始数据'!L51="","",IF(ISNUMBER('02_ASIN原始数据'!L51),TODAY()-'02_ASIN原始数据'!L51,""))</f>
        <v/>
      </c>
      <c r="C51" s="22">
        <f>IF(OR(A51="",B51=""),"",IF(B51&lt;='01_动态参数'!B15,1,0))</f>
        <v/>
      </c>
      <c r="D51" s="22">
        <f>IF(A51="","",IF(AND('02_ASIN原始数据'!D51&gt;='01_动态参数'!B10,'02_ASIN原始数据'!D51&lt;='01_动态参数'!B11),1,0))</f>
        <v/>
      </c>
      <c r="E51" s="22">
        <f>IF(A51="","",IF('02_ASIN原始数据'!N51&gt;='01_动态参数'!B12,1,0))</f>
        <v/>
      </c>
      <c r="F51" s="22">
        <f>IF(A51="","",IF('02_ASIN原始数据'!J51&gt;'01_动态参数'!B13,1,0))</f>
        <v/>
      </c>
      <c r="G51" s="22">
        <f>IF(A51="","",IF('02_ASIN原始数据'!F51&gt;='01_动态参数'!B14,1,0))</f>
        <v/>
      </c>
      <c r="H51" s="22">
        <f>IF(A51="","",IF('02_ASIN原始数据'!M51="AMZ",1,0))</f>
        <v/>
      </c>
      <c r="I51" s="22">
        <f>IF(A51="","",IF('02_ASIN原始数据'!E51="", "",RANK('02_ASIN原始数据'!E51,'02_ASIN原始数据'!$E$3:$E$52,0)))</f>
        <v/>
      </c>
      <c r="J51" s="22">
        <f>IF(A51="","",MIN(10,IF('02_ASIN原始数据'!J51&lt;=300,10,IF('02_ASIN原始数据'!J51&lt;=800,8,IF('02_ASIN原始数据'!J51&lt;=1500,5,IF('02_ASIN原始数据'!J51&lt;=3000,2,0))))+IF('02_ASIN原始数据'!P51&lt;=3,2,0)+IF(I51&lt;=10,1,0)))</f>
        <v/>
      </c>
      <c r="K51" s="22">
        <f>IF(A51="","",MIN(10,IF('02_ASIN原始数据'!F51&gt;=50,10,IF('02_ASIN原始数据'!F51&gt;=30,9,IF('02_ASIN原始数据'!F51&gt;=15,7,IF('02_ASIN原始数据'!F51&gt;=5,5,2))))+IF(C51=1,2,0)))</f>
        <v/>
      </c>
      <c r="L51" s="22">
        <f>IF(A51="","",IF(E51=0,0,IF(D51=1,8,3)+IF('02_ASIN原始数据'!N51&gt;='01_动态参数'!B12+10,2,IF('02_ASIN原始数据'!N51&gt;='01_动态参数'!B12,1,0))))</f>
        <v/>
      </c>
      <c r="M51" s="22">
        <f>IF(A51="","",MIN(10,IF('02_ASIN原始数据'!J51&lt;=500,10,IF('02_ASIN原始数据'!J51&lt;=1000,7,IF('02_ASIN原始数据'!J51&lt;=2000,4,1)))+IF(C51=1,2,0)+IF(OR('02_ASIN原始数据'!Q51="Y",'02_ASIN原始数据'!Q51="Yes",'02_ASIN原始数据'!Q51="YES"),1,0)))</f>
        <v/>
      </c>
      <c r="N51" s="22" t="n">
        <v>51</v>
      </c>
    </row>
    <row r="52">
      <c r="A52" s="22">
        <f>'02_ASIN原始数据'!A52</f>
        <v/>
      </c>
      <c r="B52" s="22">
        <f>IF('02_ASIN原始数据'!L52="","",IF(ISNUMBER('02_ASIN原始数据'!L52),TODAY()-'02_ASIN原始数据'!L52,""))</f>
        <v/>
      </c>
      <c r="C52" s="22">
        <f>IF(OR(A52="",B52=""),"",IF(B52&lt;='01_动态参数'!B15,1,0))</f>
        <v/>
      </c>
      <c r="D52" s="22">
        <f>IF(A52="","",IF(AND('02_ASIN原始数据'!D52&gt;='01_动态参数'!B10,'02_ASIN原始数据'!D52&lt;='01_动态参数'!B11),1,0))</f>
        <v/>
      </c>
      <c r="E52" s="22">
        <f>IF(A52="","",IF('02_ASIN原始数据'!N52&gt;='01_动态参数'!B12,1,0))</f>
        <v/>
      </c>
      <c r="F52" s="22">
        <f>IF(A52="","",IF('02_ASIN原始数据'!J52&gt;'01_动态参数'!B13,1,0))</f>
        <v/>
      </c>
      <c r="G52" s="22">
        <f>IF(A52="","",IF('02_ASIN原始数据'!F52&gt;='01_动态参数'!B14,1,0))</f>
        <v/>
      </c>
      <c r="H52" s="22">
        <f>IF(A52="","",IF('02_ASIN原始数据'!M52="AMZ",1,0))</f>
        <v/>
      </c>
      <c r="I52" s="22">
        <f>IF(A52="","",IF('02_ASIN原始数据'!E52="", "",RANK('02_ASIN原始数据'!E52,'02_ASIN原始数据'!$E$3:$E$52,0)))</f>
        <v/>
      </c>
      <c r="J52" s="22">
        <f>IF(A52="","",MIN(10,IF('02_ASIN原始数据'!J52&lt;=300,10,IF('02_ASIN原始数据'!J52&lt;=800,8,IF('02_ASIN原始数据'!J52&lt;=1500,5,IF('02_ASIN原始数据'!J52&lt;=3000,2,0))))+IF('02_ASIN原始数据'!P52&lt;=3,2,0)+IF(I52&lt;=10,1,0)))</f>
        <v/>
      </c>
      <c r="K52" s="22">
        <f>IF(A52="","",MIN(10,IF('02_ASIN原始数据'!F52&gt;=50,10,IF('02_ASIN原始数据'!F52&gt;=30,9,IF('02_ASIN原始数据'!F52&gt;=15,7,IF('02_ASIN原始数据'!F52&gt;=5,5,2))))+IF(C52=1,2,0)))</f>
        <v/>
      </c>
      <c r="L52" s="22">
        <f>IF(A52="","",IF(E52=0,0,IF(D52=1,8,3)+IF('02_ASIN原始数据'!N52&gt;='01_动态参数'!B12+10,2,IF('02_ASIN原始数据'!N52&gt;='01_动态参数'!B12,1,0))))</f>
        <v/>
      </c>
      <c r="M52" s="22">
        <f>IF(A52="","",MIN(10,IF('02_ASIN原始数据'!J52&lt;=500,10,IF('02_ASIN原始数据'!J52&lt;=1000,7,IF('02_ASIN原始数据'!J52&lt;=2000,4,1)))+IF(C52=1,2,0)+IF(OR('02_ASIN原始数据'!Q52="Y",'02_ASIN原始数据'!Q52="Yes",'02_ASIN原始数据'!Q52="YES"),1,0)))</f>
        <v/>
      </c>
      <c r="N52" s="22" t="n">
        <v>52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5" customWidth="1" min="10" max="10"/>
    <col width="14" customWidth="1" min="11" max="11"/>
    <col width="10" customWidth="1" min="12" max="12"/>
  </cols>
  <sheetData>
    <row r="1">
      <c r="A1" s="3" t="inlineStr">
        <is>
          <t>最终评分 + 一票否决高亮（自动计算）</t>
        </is>
      </c>
    </row>
    <row r="2">
      <c r="A2" s="23">
        <f>IF('00_客户期望配置'!B25="【已完成】可以进入评分","","【警告】请先到「00_客户期望配置」完成所有填写并确认，否则本表结果无效")</f>
        <v/>
      </c>
    </row>
    <row r="3">
      <c r="A3" s="20" t="inlineStr">
        <is>
          <t>asin</t>
        </is>
      </c>
      <c r="B3" s="20" t="inlineStr">
        <is>
          <t>title</t>
        </is>
      </c>
      <c r="C3" s="20" t="inlineStr">
        <is>
          <t>低竞争得分</t>
        </is>
      </c>
      <c r="D3" s="20" t="inlineStr">
        <is>
          <t>生命周期得分</t>
        </is>
      </c>
      <c r="E3" s="20" t="inlineStr">
        <is>
          <t>利润健康得分</t>
        </is>
      </c>
      <c r="F3" s="20" t="inlineStr">
        <is>
          <t>准入门槛得分</t>
        </is>
      </c>
      <c r="G3" s="20" t="inlineStr">
        <is>
          <t>加权总分</t>
        </is>
      </c>
      <c r="H3" s="20" t="inlineStr">
        <is>
          <t>一票否决</t>
        </is>
      </c>
      <c r="I3" s="20" t="inlineStr">
        <is>
          <t>推荐等级</t>
        </is>
      </c>
      <c r="J3" s="20" t="inlineStr">
        <is>
          <t>自动理由</t>
        </is>
      </c>
      <c r="K3" s="20" t="inlineStr">
        <is>
          <t>brand</t>
        </is>
      </c>
      <c r="L3" s="20" t="inlineStr">
        <is>
          <t>price</t>
        </is>
      </c>
    </row>
    <row r="4">
      <c r="A4" s="22">
        <f>'03_衍生指标'!A3</f>
        <v/>
      </c>
      <c r="B4" s="22">
        <f>'02_ASIN原始数据'!B3</f>
        <v/>
      </c>
      <c r="C4" s="24">
        <f>'03_衍生指标'!J3</f>
        <v/>
      </c>
      <c r="D4" s="24">
        <f>'03_衍生指标'!K3</f>
        <v/>
      </c>
      <c r="E4" s="24">
        <f>'03_衍生指标'!L3</f>
        <v/>
      </c>
      <c r="F4" s="24">
        <f>'03_衍生指标'!M3</f>
        <v/>
      </c>
      <c r="G4" s="24">
        <f>IF(A4="","",C4*'01_动态参数'!B4+D4*'01_动态参数'!B5+E4*'01_动态参数'!B6+F4*'01_动态参数'!B7)</f>
        <v/>
      </c>
      <c r="H4" s="22">
        <f>IF(A4="","",IF(OR('03_衍生指标'!F3=1,'03_衍生指标'!G3=0,'03_衍生指标'!E3=0,AND('03_衍生指标'!H3=1,'01_动态参数'!B16=1)),"否决","通过"))</f>
        <v/>
      </c>
      <c r="I4" s="22">
        <f>IF(A4="","",IF(H4="否决","淘汰",IF(G4&gt;=8,"S",IF(G4&gt;=7,"A",IF(G4&gt;=6,"B",IF(G4&gt;=5,"C","淘汰"))))))</f>
        <v/>
      </c>
      <c r="J4" s="22">
        <f>IF(A4="","",IF(H4="否决","触发否决："&amp;IF('03_衍生指标'!F3=1,"评分数超限 ","")&amp;IF('03_衍生指标'!G3=0,"增长率不达标 ","")&amp;IF('03_衍生指标'!E3=0,"毛利率不足 ","")&amp;IF(AND('03_衍生指标'!H3=1,'01_动态参数'!B16=1),"自营不接受",""),"推荐：竞争/增长/利润/门槛综合达标"))</f>
        <v/>
      </c>
      <c r="K4" s="22">
        <f>'02_ASIN原始数据'!C3</f>
        <v/>
      </c>
      <c r="L4" s="22">
        <f>'02_ASIN原始数据'!D3</f>
        <v/>
      </c>
    </row>
    <row r="5">
      <c r="A5" s="22">
        <f>'03_衍生指标'!A4</f>
        <v/>
      </c>
      <c r="B5" s="22">
        <f>'02_ASIN原始数据'!B4</f>
        <v/>
      </c>
      <c r="C5" s="24">
        <f>'03_衍生指标'!J4</f>
        <v/>
      </c>
      <c r="D5" s="24">
        <f>'03_衍生指标'!K4</f>
        <v/>
      </c>
      <c r="E5" s="24">
        <f>'03_衍生指标'!L4</f>
        <v/>
      </c>
      <c r="F5" s="24">
        <f>'03_衍生指标'!M4</f>
        <v/>
      </c>
      <c r="G5" s="24">
        <f>IF(A5="","",C5*'01_动态参数'!B4+D5*'01_动态参数'!B5+E5*'01_动态参数'!B6+F5*'01_动态参数'!B7)</f>
        <v/>
      </c>
      <c r="H5" s="22">
        <f>IF(A5="","",IF(OR('03_衍生指标'!F4=1,'03_衍生指标'!G4=0,'03_衍生指标'!E4=0,AND('03_衍生指标'!H4=1,'01_动态参数'!B16=1)),"否决","通过"))</f>
        <v/>
      </c>
      <c r="I5" s="22">
        <f>IF(A5="","",IF(H5="否决","淘汰",IF(G5&gt;=8,"S",IF(G5&gt;=7,"A",IF(G5&gt;=6,"B",IF(G5&gt;=5,"C","淘汰"))))))</f>
        <v/>
      </c>
      <c r="J5" s="22">
        <f>IF(A5="","",IF(H5="否决","触发否决："&amp;IF('03_衍生指标'!F4=1,"评分数超限 ","")&amp;IF('03_衍生指标'!G4=0,"增长率不达标 ","")&amp;IF('03_衍生指标'!E4=0,"毛利率不足 ","")&amp;IF(AND('03_衍生指标'!H4=1,'01_动态参数'!B16=1),"自营不接受",""),"推荐：竞争/增长/利润/门槛综合达标"))</f>
        <v/>
      </c>
      <c r="K5" s="22">
        <f>'02_ASIN原始数据'!C4</f>
        <v/>
      </c>
      <c r="L5" s="22">
        <f>'02_ASIN原始数据'!D4</f>
        <v/>
      </c>
    </row>
    <row r="6">
      <c r="A6" s="22">
        <f>'03_衍生指标'!A5</f>
        <v/>
      </c>
      <c r="B6" s="22">
        <f>'02_ASIN原始数据'!B5</f>
        <v/>
      </c>
      <c r="C6" s="24">
        <f>'03_衍生指标'!J5</f>
        <v/>
      </c>
      <c r="D6" s="24">
        <f>'03_衍生指标'!K5</f>
        <v/>
      </c>
      <c r="E6" s="24">
        <f>'03_衍生指标'!L5</f>
        <v/>
      </c>
      <c r="F6" s="24">
        <f>'03_衍生指标'!M5</f>
        <v/>
      </c>
      <c r="G6" s="24">
        <f>IF(A6="","",C6*'01_动态参数'!B4+D6*'01_动态参数'!B5+E6*'01_动态参数'!B6+F6*'01_动态参数'!B7)</f>
        <v/>
      </c>
      <c r="H6" s="22">
        <f>IF(A6="","",IF(OR('03_衍生指标'!F5=1,'03_衍生指标'!G5=0,'03_衍生指标'!E5=0,AND('03_衍生指标'!H5=1,'01_动态参数'!B16=1)),"否决","通过"))</f>
        <v/>
      </c>
      <c r="I6" s="22">
        <f>IF(A6="","",IF(H6="否决","淘汰",IF(G6&gt;=8,"S",IF(G6&gt;=7,"A",IF(G6&gt;=6,"B",IF(G6&gt;=5,"C","淘汰"))))))</f>
        <v/>
      </c>
      <c r="J6" s="22">
        <f>IF(A6="","",IF(H6="否决","触发否决："&amp;IF('03_衍生指标'!F5=1,"评分数超限 ","")&amp;IF('03_衍生指标'!G5=0,"增长率不达标 ","")&amp;IF('03_衍生指标'!E5=0,"毛利率不足 ","")&amp;IF(AND('03_衍生指标'!H5=1,'01_动态参数'!B16=1),"自营不接受",""),"推荐：竞争/增长/利润/门槛综合达标"))</f>
        <v/>
      </c>
      <c r="K6" s="22">
        <f>'02_ASIN原始数据'!C5</f>
        <v/>
      </c>
      <c r="L6" s="22">
        <f>'02_ASIN原始数据'!D5</f>
        <v/>
      </c>
    </row>
    <row r="7">
      <c r="A7" s="22">
        <f>'03_衍生指标'!A6</f>
        <v/>
      </c>
      <c r="B7" s="22">
        <f>'02_ASIN原始数据'!B6</f>
        <v/>
      </c>
      <c r="C7" s="24">
        <f>'03_衍生指标'!J6</f>
        <v/>
      </c>
      <c r="D7" s="24">
        <f>'03_衍生指标'!K6</f>
        <v/>
      </c>
      <c r="E7" s="24">
        <f>'03_衍生指标'!L6</f>
        <v/>
      </c>
      <c r="F7" s="24">
        <f>'03_衍生指标'!M6</f>
        <v/>
      </c>
      <c r="G7" s="24">
        <f>IF(A7="","",C7*'01_动态参数'!B4+D7*'01_动态参数'!B5+E7*'01_动态参数'!B6+F7*'01_动态参数'!B7)</f>
        <v/>
      </c>
      <c r="H7" s="22">
        <f>IF(A7="","",IF(OR('03_衍生指标'!F6=1,'03_衍生指标'!G6=0,'03_衍生指标'!E6=0,AND('03_衍生指标'!H6=1,'01_动态参数'!B16=1)),"否决","通过"))</f>
        <v/>
      </c>
      <c r="I7" s="22">
        <f>IF(A7="","",IF(H7="否决","淘汰",IF(G7&gt;=8,"S",IF(G7&gt;=7,"A",IF(G7&gt;=6,"B",IF(G7&gt;=5,"C","淘汰"))))))</f>
        <v/>
      </c>
      <c r="J7" s="22">
        <f>IF(A7="","",IF(H7="否决","触发否决："&amp;IF('03_衍生指标'!F6=1,"评分数超限 ","")&amp;IF('03_衍生指标'!G6=0,"增长率不达标 ","")&amp;IF('03_衍生指标'!E6=0,"毛利率不足 ","")&amp;IF(AND('03_衍生指标'!H6=1,'01_动态参数'!B16=1),"自营不接受",""),"推荐：竞争/增长/利润/门槛综合达标"))</f>
        <v/>
      </c>
      <c r="K7" s="22">
        <f>'02_ASIN原始数据'!C6</f>
        <v/>
      </c>
      <c r="L7" s="22">
        <f>'02_ASIN原始数据'!D6</f>
        <v/>
      </c>
    </row>
    <row r="8">
      <c r="A8" s="22">
        <f>'03_衍生指标'!A7</f>
        <v/>
      </c>
      <c r="B8" s="22">
        <f>'02_ASIN原始数据'!B7</f>
        <v/>
      </c>
      <c r="C8" s="24">
        <f>'03_衍生指标'!J7</f>
        <v/>
      </c>
      <c r="D8" s="24">
        <f>'03_衍生指标'!K7</f>
        <v/>
      </c>
      <c r="E8" s="24">
        <f>'03_衍生指标'!L7</f>
        <v/>
      </c>
      <c r="F8" s="24">
        <f>'03_衍生指标'!M7</f>
        <v/>
      </c>
      <c r="G8" s="24">
        <f>IF(A8="","",C8*'01_动态参数'!B4+D8*'01_动态参数'!B5+E8*'01_动态参数'!B6+F8*'01_动态参数'!B7)</f>
        <v/>
      </c>
      <c r="H8" s="22">
        <f>IF(A8="","",IF(OR('03_衍生指标'!F7=1,'03_衍生指标'!G7=0,'03_衍生指标'!E7=0,AND('03_衍生指标'!H7=1,'01_动态参数'!B16=1)),"否决","通过"))</f>
        <v/>
      </c>
      <c r="I8" s="22">
        <f>IF(A8="","",IF(H8="否决","淘汰",IF(G8&gt;=8,"S",IF(G8&gt;=7,"A",IF(G8&gt;=6,"B",IF(G8&gt;=5,"C","淘汰"))))))</f>
        <v/>
      </c>
      <c r="J8" s="22">
        <f>IF(A8="","",IF(H8="否决","触发否决："&amp;IF('03_衍生指标'!F7=1,"评分数超限 ","")&amp;IF('03_衍生指标'!G7=0,"增长率不达标 ","")&amp;IF('03_衍生指标'!E7=0,"毛利率不足 ","")&amp;IF(AND('03_衍生指标'!H7=1,'01_动态参数'!B16=1),"自营不接受",""),"推荐：竞争/增长/利润/门槛综合达标"))</f>
        <v/>
      </c>
      <c r="K8" s="22">
        <f>'02_ASIN原始数据'!C7</f>
        <v/>
      </c>
      <c r="L8" s="22">
        <f>'02_ASIN原始数据'!D7</f>
        <v/>
      </c>
    </row>
    <row r="9">
      <c r="A9" s="22">
        <f>'03_衍生指标'!A8</f>
        <v/>
      </c>
      <c r="B9" s="22">
        <f>'02_ASIN原始数据'!B8</f>
        <v/>
      </c>
      <c r="C9" s="24">
        <f>'03_衍生指标'!J8</f>
        <v/>
      </c>
      <c r="D9" s="24">
        <f>'03_衍生指标'!K8</f>
        <v/>
      </c>
      <c r="E9" s="24">
        <f>'03_衍生指标'!L8</f>
        <v/>
      </c>
      <c r="F9" s="24">
        <f>'03_衍生指标'!M8</f>
        <v/>
      </c>
      <c r="G9" s="24">
        <f>IF(A9="","",C9*'01_动态参数'!B4+D9*'01_动态参数'!B5+E9*'01_动态参数'!B6+F9*'01_动态参数'!B7)</f>
        <v/>
      </c>
      <c r="H9" s="22">
        <f>IF(A9="","",IF(OR('03_衍生指标'!F8=1,'03_衍生指标'!G8=0,'03_衍生指标'!E8=0,AND('03_衍生指标'!H8=1,'01_动态参数'!B16=1)),"否决","通过"))</f>
        <v/>
      </c>
      <c r="I9" s="22">
        <f>IF(A9="","",IF(H9="否决","淘汰",IF(G9&gt;=8,"S",IF(G9&gt;=7,"A",IF(G9&gt;=6,"B",IF(G9&gt;=5,"C","淘汰"))))))</f>
        <v/>
      </c>
      <c r="J9" s="22">
        <f>IF(A9="","",IF(H9="否决","触发否决："&amp;IF('03_衍生指标'!F8=1,"评分数超限 ","")&amp;IF('03_衍生指标'!G8=0,"增长率不达标 ","")&amp;IF('03_衍生指标'!E8=0,"毛利率不足 ","")&amp;IF(AND('03_衍生指标'!H8=1,'01_动态参数'!B16=1),"自营不接受",""),"推荐：竞争/增长/利润/门槛综合达标"))</f>
        <v/>
      </c>
      <c r="K9" s="22">
        <f>'02_ASIN原始数据'!C8</f>
        <v/>
      </c>
      <c r="L9" s="22">
        <f>'02_ASIN原始数据'!D8</f>
        <v/>
      </c>
    </row>
    <row r="10">
      <c r="A10" s="22">
        <f>'03_衍生指标'!A9</f>
        <v/>
      </c>
      <c r="B10" s="22">
        <f>'02_ASIN原始数据'!B9</f>
        <v/>
      </c>
      <c r="C10" s="24">
        <f>'03_衍生指标'!J9</f>
        <v/>
      </c>
      <c r="D10" s="24">
        <f>'03_衍生指标'!K9</f>
        <v/>
      </c>
      <c r="E10" s="24">
        <f>'03_衍生指标'!L9</f>
        <v/>
      </c>
      <c r="F10" s="24">
        <f>'03_衍生指标'!M9</f>
        <v/>
      </c>
      <c r="G10" s="24">
        <f>IF(A10="","",C10*'01_动态参数'!B4+D10*'01_动态参数'!B5+E10*'01_动态参数'!B6+F10*'01_动态参数'!B7)</f>
        <v/>
      </c>
      <c r="H10" s="22">
        <f>IF(A10="","",IF(OR('03_衍生指标'!F9=1,'03_衍生指标'!G9=0,'03_衍生指标'!E9=0,AND('03_衍生指标'!H9=1,'01_动态参数'!B16=1)),"否决","通过"))</f>
        <v/>
      </c>
      <c r="I10" s="22">
        <f>IF(A10="","",IF(H10="否决","淘汰",IF(G10&gt;=8,"S",IF(G10&gt;=7,"A",IF(G10&gt;=6,"B",IF(G10&gt;=5,"C","淘汰"))))))</f>
        <v/>
      </c>
      <c r="J10" s="22">
        <f>IF(A10="","",IF(H10="否决","触发否决："&amp;IF('03_衍生指标'!F9=1,"评分数超限 ","")&amp;IF('03_衍生指标'!G9=0,"增长率不达标 ","")&amp;IF('03_衍生指标'!E9=0,"毛利率不足 ","")&amp;IF(AND('03_衍生指标'!H9=1,'01_动态参数'!B16=1),"自营不接受",""),"推荐：竞争/增长/利润/门槛综合达标"))</f>
        <v/>
      </c>
      <c r="K10" s="22">
        <f>'02_ASIN原始数据'!C9</f>
        <v/>
      </c>
      <c r="L10" s="22">
        <f>'02_ASIN原始数据'!D9</f>
        <v/>
      </c>
    </row>
    <row r="11">
      <c r="A11" s="22">
        <f>'03_衍生指标'!A10</f>
        <v/>
      </c>
      <c r="B11" s="22">
        <f>'02_ASIN原始数据'!B10</f>
        <v/>
      </c>
      <c r="C11" s="24">
        <f>'03_衍生指标'!J10</f>
        <v/>
      </c>
      <c r="D11" s="24">
        <f>'03_衍生指标'!K10</f>
        <v/>
      </c>
      <c r="E11" s="24">
        <f>'03_衍生指标'!L10</f>
        <v/>
      </c>
      <c r="F11" s="24">
        <f>'03_衍生指标'!M10</f>
        <v/>
      </c>
      <c r="G11" s="24">
        <f>IF(A11="","",C11*'01_动态参数'!B4+D11*'01_动态参数'!B5+E11*'01_动态参数'!B6+F11*'01_动态参数'!B7)</f>
        <v/>
      </c>
      <c r="H11" s="22">
        <f>IF(A11="","",IF(OR('03_衍生指标'!F10=1,'03_衍生指标'!G10=0,'03_衍生指标'!E10=0,AND('03_衍生指标'!H10=1,'01_动态参数'!B16=1)),"否决","通过"))</f>
        <v/>
      </c>
      <c r="I11" s="22">
        <f>IF(A11="","",IF(H11="否决","淘汰",IF(G11&gt;=8,"S",IF(G11&gt;=7,"A",IF(G11&gt;=6,"B",IF(G11&gt;=5,"C","淘汰"))))))</f>
        <v/>
      </c>
      <c r="J11" s="22">
        <f>IF(A11="","",IF(H11="否决","触发否决："&amp;IF('03_衍生指标'!F10=1,"评分数超限 ","")&amp;IF('03_衍生指标'!G10=0,"增长率不达标 ","")&amp;IF('03_衍生指标'!E10=0,"毛利率不足 ","")&amp;IF(AND('03_衍生指标'!H10=1,'01_动态参数'!B16=1),"自营不接受",""),"推荐：竞争/增长/利润/门槛综合达标"))</f>
        <v/>
      </c>
      <c r="K11" s="22">
        <f>'02_ASIN原始数据'!C10</f>
        <v/>
      </c>
      <c r="L11" s="22">
        <f>'02_ASIN原始数据'!D10</f>
        <v/>
      </c>
    </row>
    <row r="12">
      <c r="A12" s="22">
        <f>'03_衍生指标'!A11</f>
        <v/>
      </c>
      <c r="B12" s="22">
        <f>'02_ASIN原始数据'!B11</f>
        <v/>
      </c>
      <c r="C12" s="24">
        <f>'03_衍生指标'!J11</f>
        <v/>
      </c>
      <c r="D12" s="24">
        <f>'03_衍生指标'!K11</f>
        <v/>
      </c>
      <c r="E12" s="24">
        <f>'03_衍生指标'!L11</f>
        <v/>
      </c>
      <c r="F12" s="24">
        <f>'03_衍生指标'!M11</f>
        <v/>
      </c>
      <c r="G12" s="24">
        <f>IF(A12="","",C12*'01_动态参数'!B4+D12*'01_动态参数'!B5+E12*'01_动态参数'!B6+F12*'01_动态参数'!B7)</f>
        <v/>
      </c>
      <c r="H12" s="22">
        <f>IF(A12="","",IF(OR('03_衍生指标'!F11=1,'03_衍生指标'!G11=0,'03_衍生指标'!E11=0,AND('03_衍生指标'!H11=1,'01_动态参数'!B16=1)),"否决","通过"))</f>
        <v/>
      </c>
      <c r="I12" s="22">
        <f>IF(A12="","",IF(H12="否决","淘汰",IF(G12&gt;=8,"S",IF(G12&gt;=7,"A",IF(G12&gt;=6,"B",IF(G12&gt;=5,"C","淘汰"))))))</f>
        <v/>
      </c>
      <c r="J12" s="22">
        <f>IF(A12="","",IF(H12="否决","触发否决："&amp;IF('03_衍生指标'!F11=1,"评分数超限 ","")&amp;IF('03_衍生指标'!G11=0,"增长率不达标 ","")&amp;IF('03_衍生指标'!E11=0,"毛利率不足 ","")&amp;IF(AND('03_衍生指标'!H11=1,'01_动态参数'!B16=1),"自营不接受",""),"推荐：竞争/增长/利润/门槛综合达标"))</f>
        <v/>
      </c>
      <c r="K12" s="22">
        <f>'02_ASIN原始数据'!C11</f>
        <v/>
      </c>
      <c r="L12" s="22">
        <f>'02_ASIN原始数据'!D11</f>
        <v/>
      </c>
    </row>
    <row r="13">
      <c r="A13" s="22">
        <f>'03_衍生指标'!A12</f>
        <v/>
      </c>
      <c r="B13" s="22">
        <f>'02_ASIN原始数据'!B12</f>
        <v/>
      </c>
      <c r="C13" s="24">
        <f>'03_衍生指标'!J12</f>
        <v/>
      </c>
      <c r="D13" s="24">
        <f>'03_衍生指标'!K12</f>
        <v/>
      </c>
      <c r="E13" s="24">
        <f>'03_衍生指标'!L12</f>
        <v/>
      </c>
      <c r="F13" s="24">
        <f>'03_衍生指标'!M12</f>
        <v/>
      </c>
      <c r="G13" s="24">
        <f>IF(A13="","",C13*'01_动态参数'!B4+D13*'01_动态参数'!B5+E13*'01_动态参数'!B6+F13*'01_动态参数'!B7)</f>
        <v/>
      </c>
      <c r="H13" s="22">
        <f>IF(A13="","",IF(OR('03_衍生指标'!F12=1,'03_衍生指标'!G12=0,'03_衍生指标'!E12=0,AND('03_衍生指标'!H12=1,'01_动态参数'!B16=1)),"否决","通过"))</f>
        <v/>
      </c>
      <c r="I13" s="22">
        <f>IF(A13="","",IF(H13="否决","淘汰",IF(G13&gt;=8,"S",IF(G13&gt;=7,"A",IF(G13&gt;=6,"B",IF(G13&gt;=5,"C","淘汰"))))))</f>
        <v/>
      </c>
      <c r="J13" s="22">
        <f>IF(A13="","",IF(H13="否决","触发否决："&amp;IF('03_衍生指标'!F12=1,"评分数超限 ","")&amp;IF('03_衍生指标'!G12=0,"增长率不达标 ","")&amp;IF('03_衍生指标'!E12=0,"毛利率不足 ","")&amp;IF(AND('03_衍生指标'!H12=1,'01_动态参数'!B16=1),"自营不接受",""),"推荐：竞争/增长/利润/门槛综合达标"))</f>
        <v/>
      </c>
      <c r="K13" s="22">
        <f>'02_ASIN原始数据'!C12</f>
        <v/>
      </c>
      <c r="L13" s="22">
        <f>'02_ASIN原始数据'!D12</f>
        <v/>
      </c>
    </row>
    <row r="14">
      <c r="A14" s="22">
        <f>'03_衍生指标'!A13</f>
        <v/>
      </c>
      <c r="B14" s="22">
        <f>'02_ASIN原始数据'!B13</f>
        <v/>
      </c>
      <c r="C14" s="24">
        <f>'03_衍生指标'!J13</f>
        <v/>
      </c>
      <c r="D14" s="24">
        <f>'03_衍生指标'!K13</f>
        <v/>
      </c>
      <c r="E14" s="24">
        <f>'03_衍生指标'!L13</f>
        <v/>
      </c>
      <c r="F14" s="24">
        <f>'03_衍生指标'!M13</f>
        <v/>
      </c>
      <c r="G14" s="24">
        <f>IF(A14="","",C14*'01_动态参数'!B4+D14*'01_动态参数'!B5+E14*'01_动态参数'!B6+F14*'01_动态参数'!B7)</f>
        <v/>
      </c>
      <c r="H14" s="22">
        <f>IF(A14="","",IF(OR('03_衍生指标'!F13=1,'03_衍生指标'!G13=0,'03_衍生指标'!E13=0,AND('03_衍生指标'!H13=1,'01_动态参数'!B16=1)),"否决","通过"))</f>
        <v/>
      </c>
      <c r="I14" s="22">
        <f>IF(A14="","",IF(H14="否决","淘汰",IF(G14&gt;=8,"S",IF(G14&gt;=7,"A",IF(G14&gt;=6,"B",IF(G14&gt;=5,"C","淘汰"))))))</f>
        <v/>
      </c>
      <c r="J14" s="22">
        <f>IF(A14="","",IF(H14="否决","触发否决："&amp;IF('03_衍生指标'!F13=1,"评分数超限 ","")&amp;IF('03_衍生指标'!G13=0,"增长率不达标 ","")&amp;IF('03_衍生指标'!E13=0,"毛利率不足 ","")&amp;IF(AND('03_衍生指标'!H13=1,'01_动态参数'!B16=1),"自营不接受",""),"推荐：竞争/增长/利润/门槛综合达标"))</f>
        <v/>
      </c>
      <c r="K14" s="22">
        <f>'02_ASIN原始数据'!C13</f>
        <v/>
      </c>
      <c r="L14" s="22">
        <f>'02_ASIN原始数据'!D13</f>
        <v/>
      </c>
    </row>
    <row r="15">
      <c r="A15" s="22">
        <f>'03_衍生指标'!A14</f>
        <v/>
      </c>
      <c r="B15" s="22">
        <f>'02_ASIN原始数据'!B14</f>
        <v/>
      </c>
      <c r="C15" s="24">
        <f>'03_衍生指标'!J14</f>
        <v/>
      </c>
      <c r="D15" s="24">
        <f>'03_衍生指标'!K14</f>
        <v/>
      </c>
      <c r="E15" s="24">
        <f>'03_衍生指标'!L14</f>
        <v/>
      </c>
      <c r="F15" s="24">
        <f>'03_衍生指标'!M14</f>
        <v/>
      </c>
      <c r="G15" s="24">
        <f>IF(A15="","",C15*'01_动态参数'!B4+D15*'01_动态参数'!B5+E15*'01_动态参数'!B6+F15*'01_动态参数'!B7)</f>
        <v/>
      </c>
      <c r="H15" s="22">
        <f>IF(A15="","",IF(OR('03_衍生指标'!F14=1,'03_衍生指标'!G14=0,'03_衍生指标'!E14=0,AND('03_衍生指标'!H14=1,'01_动态参数'!B16=1)),"否决","通过"))</f>
        <v/>
      </c>
      <c r="I15" s="22">
        <f>IF(A15="","",IF(H15="否决","淘汰",IF(G15&gt;=8,"S",IF(G15&gt;=7,"A",IF(G15&gt;=6,"B",IF(G15&gt;=5,"C","淘汰"))))))</f>
        <v/>
      </c>
      <c r="J15" s="22">
        <f>IF(A15="","",IF(H15="否决","触发否决："&amp;IF('03_衍生指标'!F14=1,"评分数超限 ","")&amp;IF('03_衍生指标'!G14=0,"增长率不达标 ","")&amp;IF('03_衍生指标'!E14=0,"毛利率不足 ","")&amp;IF(AND('03_衍生指标'!H14=1,'01_动态参数'!B16=1),"自营不接受",""),"推荐：竞争/增长/利润/门槛综合达标"))</f>
        <v/>
      </c>
      <c r="K15" s="22">
        <f>'02_ASIN原始数据'!C14</f>
        <v/>
      </c>
      <c r="L15" s="22">
        <f>'02_ASIN原始数据'!D14</f>
        <v/>
      </c>
    </row>
    <row r="16">
      <c r="A16" s="22">
        <f>'03_衍生指标'!A15</f>
        <v/>
      </c>
      <c r="B16" s="22">
        <f>'02_ASIN原始数据'!B15</f>
        <v/>
      </c>
      <c r="C16" s="24">
        <f>'03_衍生指标'!J15</f>
        <v/>
      </c>
      <c r="D16" s="24">
        <f>'03_衍生指标'!K15</f>
        <v/>
      </c>
      <c r="E16" s="24">
        <f>'03_衍生指标'!L15</f>
        <v/>
      </c>
      <c r="F16" s="24">
        <f>'03_衍生指标'!M15</f>
        <v/>
      </c>
      <c r="G16" s="24">
        <f>IF(A16="","",C16*'01_动态参数'!B4+D16*'01_动态参数'!B5+E16*'01_动态参数'!B6+F16*'01_动态参数'!B7)</f>
        <v/>
      </c>
      <c r="H16" s="22">
        <f>IF(A16="","",IF(OR('03_衍生指标'!F15=1,'03_衍生指标'!G15=0,'03_衍生指标'!E15=0,AND('03_衍生指标'!H15=1,'01_动态参数'!B16=1)),"否决","通过"))</f>
        <v/>
      </c>
      <c r="I16" s="22">
        <f>IF(A16="","",IF(H16="否决","淘汰",IF(G16&gt;=8,"S",IF(G16&gt;=7,"A",IF(G16&gt;=6,"B",IF(G16&gt;=5,"C","淘汰"))))))</f>
        <v/>
      </c>
      <c r="J16" s="22">
        <f>IF(A16="","",IF(H16="否决","触发否决："&amp;IF('03_衍生指标'!F15=1,"评分数超限 ","")&amp;IF('03_衍生指标'!G15=0,"增长率不达标 ","")&amp;IF('03_衍生指标'!E15=0,"毛利率不足 ","")&amp;IF(AND('03_衍生指标'!H15=1,'01_动态参数'!B16=1),"自营不接受",""),"推荐：竞争/增长/利润/门槛综合达标"))</f>
        <v/>
      </c>
      <c r="K16" s="22">
        <f>'02_ASIN原始数据'!C15</f>
        <v/>
      </c>
      <c r="L16" s="22">
        <f>'02_ASIN原始数据'!D15</f>
        <v/>
      </c>
    </row>
    <row r="17">
      <c r="A17" s="22">
        <f>'03_衍生指标'!A16</f>
        <v/>
      </c>
      <c r="B17" s="22">
        <f>'02_ASIN原始数据'!B16</f>
        <v/>
      </c>
      <c r="C17" s="24">
        <f>'03_衍生指标'!J16</f>
        <v/>
      </c>
      <c r="D17" s="24">
        <f>'03_衍生指标'!K16</f>
        <v/>
      </c>
      <c r="E17" s="24">
        <f>'03_衍生指标'!L16</f>
        <v/>
      </c>
      <c r="F17" s="24">
        <f>'03_衍生指标'!M16</f>
        <v/>
      </c>
      <c r="G17" s="24">
        <f>IF(A17="","",C17*'01_动态参数'!B4+D17*'01_动态参数'!B5+E17*'01_动态参数'!B6+F17*'01_动态参数'!B7)</f>
        <v/>
      </c>
      <c r="H17" s="22">
        <f>IF(A17="","",IF(OR('03_衍生指标'!F16=1,'03_衍生指标'!G16=0,'03_衍生指标'!E16=0,AND('03_衍生指标'!H16=1,'01_动态参数'!B16=1)),"否决","通过"))</f>
        <v/>
      </c>
      <c r="I17" s="22">
        <f>IF(A17="","",IF(H17="否决","淘汰",IF(G17&gt;=8,"S",IF(G17&gt;=7,"A",IF(G17&gt;=6,"B",IF(G17&gt;=5,"C","淘汰"))))))</f>
        <v/>
      </c>
      <c r="J17" s="22">
        <f>IF(A17="","",IF(H17="否决","触发否决："&amp;IF('03_衍生指标'!F16=1,"评分数超限 ","")&amp;IF('03_衍生指标'!G16=0,"增长率不达标 ","")&amp;IF('03_衍生指标'!E16=0,"毛利率不足 ","")&amp;IF(AND('03_衍生指标'!H16=1,'01_动态参数'!B16=1),"自营不接受",""),"推荐：竞争/增长/利润/门槛综合达标"))</f>
        <v/>
      </c>
      <c r="K17" s="22">
        <f>'02_ASIN原始数据'!C16</f>
        <v/>
      </c>
      <c r="L17" s="22">
        <f>'02_ASIN原始数据'!D16</f>
        <v/>
      </c>
    </row>
    <row r="18">
      <c r="A18" s="22">
        <f>'03_衍生指标'!A17</f>
        <v/>
      </c>
      <c r="B18" s="22">
        <f>'02_ASIN原始数据'!B17</f>
        <v/>
      </c>
      <c r="C18" s="24">
        <f>'03_衍生指标'!J17</f>
        <v/>
      </c>
      <c r="D18" s="24">
        <f>'03_衍生指标'!K17</f>
        <v/>
      </c>
      <c r="E18" s="24">
        <f>'03_衍生指标'!L17</f>
        <v/>
      </c>
      <c r="F18" s="24">
        <f>'03_衍生指标'!M17</f>
        <v/>
      </c>
      <c r="G18" s="24">
        <f>IF(A18="","",C18*'01_动态参数'!B4+D18*'01_动态参数'!B5+E18*'01_动态参数'!B6+F18*'01_动态参数'!B7)</f>
        <v/>
      </c>
      <c r="H18" s="22">
        <f>IF(A18="","",IF(OR('03_衍生指标'!F17=1,'03_衍生指标'!G17=0,'03_衍生指标'!E17=0,AND('03_衍生指标'!H17=1,'01_动态参数'!B16=1)),"否决","通过"))</f>
        <v/>
      </c>
      <c r="I18" s="22">
        <f>IF(A18="","",IF(H18="否决","淘汰",IF(G18&gt;=8,"S",IF(G18&gt;=7,"A",IF(G18&gt;=6,"B",IF(G18&gt;=5,"C","淘汰"))))))</f>
        <v/>
      </c>
      <c r="J18" s="22">
        <f>IF(A18="","",IF(H18="否决","触发否决："&amp;IF('03_衍生指标'!F17=1,"评分数超限 ","")&amp;IF('03_衍生指标'!G17=0,"增长率不达标 ","")&amp;IF('03_衍生指标'!E17=0,"毛利率不足 ","")&amp;IF(AND('03_衍生指标'!H17=1,'01_动态参数'!B16=1),"自营不接受",""),"推荐：竞争/增长/利润/门槛综合达标"))</f>
        <v/>
      </c>
      <c r="K18" s="22">
        <f>'02_ASIN原始数据'!C17</f>
        <v/>
      </c>
      <c r="L18" s="22">
        <f>'02_ASIN原始数据'!D17</f>
        <v/>
      </c>
    </row>
    <row r="19">
      <c r="A19" s="22">
        <f>'03_衍生指标'!A18</f>
        <v/>
      </c>
      <c r="B19" s="22">
        <f>'02_ASIN原始数据'!B18</f>
        <v/>
      </c>
      <c r="C19" s="24">
        <f>'03_衍生指标'!J18</f>
        <v/>
      </c>
      <c r="D19" s="24">
        <f>'03_衍生指标'!K18</f>
        <v/>
      </c>
      <c r="E19" s="24">
        <f>'03_衍生指标'!L18</f>
        <v/>
      </c>
      <c r="F19" s="24">
        <f>'03_衍生指标'!M18</f>
        <v/>
      </c>
      <c r="G19" s="24">
        <f>IF(A19="","",C19*'01_动态参数'!B4+D19*'01_动态参数'!B5+E19*'01_动态参数'!B6+F19*'01_动态参数'!B7)</f>
        <v/>
      </c>
      <c r="H19" s="22">
        <f>IF(A19="","",IF(OR('03_衍生指标'!F18=1,'03_衍生指标'!G18=0,'03_衍生指标'!E18=0,AND('03_衍生指标'!H18=1,'01_动态参数'!B16=1)),"否决","通过"))</f>
        <v/>
      </c>
      <c r="I19" s="22">
        <f>IF(A19="","",IF(H19="否决","淘汰",IF(G19&gt;=8,"S",IF(G19&gt;=7,"A",IF(G19&gt;=6,"B",IF(G19&gt;=5,"C","淘汰"))))))</f>
        <v/>
      </c>
      <c r="J19" s="22">
        <f>IF(A19="","",IF(H19="否决","触发否决："&amp;IF('03_衍生指标'!F18=1,"评分数超限 ","")&amp;IF('03_衍生指标'!G18=0,"增长率不达标 ","")&amp;IF('03_衍生指标'!E18=0,"毛利率不足 ","")&amp;IF(AND('03_衍生指标'!H18=1,'01_动态参数'!B16=1),"自营不接受",""),"推荐：竞争/增长/利润/门槛综合达标"))</f>
        <v/>
      </c>
      <c r="K19" s="22">
        <f>'02_ASIN原始数据'!C18</f>
        <v/>
      </c>
      <c r="L19" s="22">
        <f>'02_ASIN原始数据'!D18</f>
        <v/>
      </c>
    </row>
    <row r="20">
      <c r="A20" s="22">
        <f>'03_衍生指标'!A19</f>
        <v/>
      </c>
      <c r="B20" s="22">
        <f>'02_ASIN原始数据'!B19</f>
        <v/>
      </c>
      <c r="C20" s="24">
        <f>'03_衍生指标'!J19</f>
        <v/>
      </c>
      <c r="D20" s="24">
        <f>'03_衍生指标'!K19</f>
        <v/>
      </c>
      <c r="E20" s="24">
        <f>'03_衍生指标'!L19</f>
        <v/>
      </c>
      <c r="F20" s="24">
        <f>'03_衍生指标'!M19</f>
        <v/>
      </c>
      <c r="G20" s="24">
        <f>IF(A20="","",C20*'01_动态参数'!B4+D20*'01_动态参数'!B5+E20*'01_动态参数'!B6+F20*'01_动态参数'!B7)</f>
        <v/>
      </c>
      <c r="H20" s="22">
        <f>IF(A20="","",IF(OR('03_衍生指标'!F19=1,'03_衍生指标'!G19=0,'03_衍生指标'!E19=0,AND('03_衍生指标'!H19=1,'01_动态参数'!B16=1)),"否决","通过"))</f>
        <v/>
      </c>
      <c r="I20" s="22">
        <f>IF(A20="","",IF(H20="否决","淘汰",IF(G20&gt;=8,"S",IF(G20&gt;=7,"A",IF(G20&gt;=6,"B",IF(G20&gt;=5,"C","淘汰"))))))</f>
        <v/>
      </c>
      <c r="J20" s="22">
        <f>IF(A20="","",IF(H20="否决","触发否决："&amp;IF('03_衍生指标'!F19=1,"评分数超限 ","")&amp;IF('03_衍生指标'!G19=0,"增长率不达标 ","")&amp;IF('03_衍生指标'!E19=0,"毛利率不足 ","")&amp;IF(AND('03_衍生指标'!H19=1,'01_动态参数'!B16=1),"自营不接受",""),"推荐：竞争/增长/利润/门槛综合达标"))</f>
        <v/>
      </c>
      <c r="K20" s="22">
        <f>'02_ASIN原始数据'!C19</f>
        <v/>
      </c>
      <c r="L20" s="22">
        <f>'02_ASIN原始数据'!D19</f>
        <v/>
      </c>
    </row>
    <row r="21">
      <c r="A21" s="22">
        <f>'03_衍生指标'!A20</f>
        <v/>
      </c>
      <c r="B21" s="22">
        <f>'02_ASIN原始数据'!B20</f>
        <v/>
      </c>
      <c r="C21" s="24">
        <f>'03_衍生指标'!J20</f>
        <v/>
      </c>
      <c r="D21" s="24">
        <f>'03_衍生指标'!K20</f>
        <v/>
      </c>
      <c r="E21" s="24">
        <f>'03_衍生指标'!L20</f>
        <v/>
      </c>
      <c r="F21" s="24">
        <f>'03_衍生指标'!M20</f>
        <v/>
      </c>
      <c r="G21" s="24">
        <f>IF(A21="","",C21*'01_动态参数'!B4+D21*'01_动态参数'!B5+E21*'01_动态参数'!B6+F21*'01_动态参数'!B7)</f>
        <v/>
      </c>
      <c r="H21" s="22">
        <f>IF(A21="","",IF(OR('03_衍生指标'!F20=1,'03_衍生指标'!G20=0,'03_衍生指标'!E20=0,AND('03_衍生指标'!H20=1,'01_动态参数'!B16=1)),"否决","通过"))</f>
        <v/>
      </c>
      <c r="I21" s="22">
        <f>IF(A21="","",IF(H21="否决","淘汰",IF(G21&gt;=8,"S",IF(G21&gt;=7,"A",IF(G21&gt;=6,"B",IF(G21&gt;=5,"C","淘汰"))))))</f>
        <v/>
      </c>
      <c r="J21" s="22">
        <f>IF(A21="","",IF(H21="否决","触发否决："&amp;IF('03_衍生指标'!F20=1,"评分数超限 ","")&amp;IF('03_衍生指标'!G20=0,"增长率不达标 ","")&amp;IF('03_衍生指标'!E20=0,"毛利率不足 ","")&amp;IF(AND('03_衍生指标'!H20=1,'01_动态参数'!B16=1),"自营不接受",""),"推荐：竞争/增长/利润/门槛综合达标"))</f>
        <v/>
      </c>
      <c r="K21" s="22">
        <f>'02_ASIN原始数据'!C20</f>
        <v/>
      </c>
      <c r="L21" s="22">
        <f>'02_ASIN原始数据'!D20</f>
        <v/>
      </c>
    </row>
    <row r="22">
      <c r="A22" s="22">
        <f>'03_衍生指标'!A21</f>
        <v/>
      </c>
      <c r="B22" s="22">
        <f>'02_ASIN原始数据'!B21</f>
        <v/>
      </c>
      <c r="C22" s="24">
        <f>'03_衍生指标'!J21</f>
        <v/>
      </c>
      <c r="D22" s="24">
        <f>'03_衍生指标'!K21</f>
        <v/>
      </c>
      <c r="E22" s="24">
        <f>'03_衍生指标'!L21</f>
        <v/>
      </c>
      <c r="F22" s="24">
        <f>'03_衍生指标'!M21</f>
        <v/>
      </c>
      <c r="G22" s="24">
        <f>IF(A22="","",C22*'01_动态参数'!B4+D22*'01_动态参数'!B5+E22*'01_动态参数'!B6+F22*'01_动态参数'!B7)</f>
        <v/>
      </c>
      <c r="H22" s="22">
        <f>IF(A22="","",IF(OR('03_衍生指标'!F21=1,'03_衍生指标'!G21=0,'03_衍生指标'!E21=0,AND('03_衍生指标'!H21=1,'01_动态参数'!B16=1)),"否决","通过"))</f>
        <v/>
      </c>
      <c r="I22" s="22">
        <f>IF(A22="","",IF(H22="否决","淘汰",IF(G22&gt;=8,"S",IF(G22&gt;=7,"A",IF(G22&gt;=6,"B",IF(G22&gt;=5,"C","淘汰"))))))</f>
        <v/>
      </c>
      <c r="J22" s="22">
        <f>IF(A22="","",IF(H22="否决","触发否决："&amp;IF('03_衍生指标'!F21=1,"评分数超限 ","")&amp;IF('03_衍生指标'!G21=0,"增长率不达标 ","")&amp;IF('03_衍生指标'!E21=0,"毛利率不足 ","")&amp;IF(AND('03_衍生指标'!H21=1,'01_动态参数'!B16=1),"自营不接受",""),"推荐：竞争/增长/利润/门槛综合达标"))</f>
        <v/>
      </c>
      <c r="K22" s="22">
        <f>'02_ASIN原始数据'!C21</f>
        <v/>
      </c>
      <c r="L22" s="22">
        <f>'02_ASIN原始数据'!D21</f>
        <v/>
      </c>
    </row>
    <row r="23">
      <c r="A23" s="22">
        <f>'03_衍生指标'!A22</f>
        <v/>
      </c>
      <c r="B23" s="22">
        <f>'02_ASIN原始数据'!B22</f>
        <v/>
      </c>
      <c r="C23" s="24">
        <f>'03_衍生指标'!J22</f>
        <v/>
      </c>
      <c r="D23" s="24">
        <f>'03_衍生指标'!K22</f>
        <v/>
      </c>
      <c r="E23" s="24">
        <f>'03_衍生指标'!L22</f>
        <v/>
      </c>
      <c r="F23" s="24">
        <f>'03_衍生指标'!M22</f>
        <v/>
      </c>
      <c r="G23" s="24">
        <f>IF(A23="","",C23*'01_动态参数'!B4+D23*'01_动态参数'!B5+E23*'01_动态参数'!B6+F23*'01_动态参数'!B7)</f>
        <v/>
      </c>
      <c r="H23" s="22">
        <f>IF(A23="","",IF(OR('03_衍生指标'!F22=1,'03_衍生指标'!G22=0,'03_衍生指标'!E22=0,AND('03_衍生指标'!H22=1,'01_动态参数'!B16=1)),"否决","通过"))</f>
        <v/>
      </c>
      <c r="I23" s="22">
        <f>IF(A23="","",IF(H23="否决","淘汰",IF(G23&gt;=8,"S",IF(G23&gt;=7,"A",IF(G23&gt;=6,"B",IF(G23&gt;=5,"C","淘汰"))))))</f>
        <v/>
      </c>
      <c r="J23" s="22">
        <f>IF(A23="","",IF(H23="否决","触发否决："&amp;IF('03_衍生指标'!F22=1,"评分数超限 ","")&amp;IF('03_衍生指标'!G22=0,"增长率不达标 ","")&amp;IF('03_衍生指标'!E22=0,"毛利率不足 ","")&amp;IF(AND('03_衍生指标'!H22=1,'01_动态参数'!B16=1),"自营不接受",""),"推荐：竞争/增长/利润/门槛综合达标"))</f>
        <v/>
      </c>
      <c r="K23" s="22">
        <f>'02_ASIN原始数据'!C22</f>
        <v/>
      </c>
      <c r="L23" s="22">
        <f>'02_ASIN原始数据'!D22</f>
        <v/>
      </c>
    </row>
    <row r="24">
      <c r="A24" s="22">
        <f>'03_衍生指标'!A23</f>
        <v/>
      </c>
      <c r="B24" s="22">
        <f>'02_ASIN原始数据'!B23</f>
        <v/>
      </c>
      <c r="C24" s="24">
        <f>'03_衍生指标'!J23</f>
        <v/>
      </c>
      <c r="D24" s="24">
        <f>'03_衍生指标'!K23</f>
        <v/>
      </c>
      <c r="E24" s="24">
        <f>'03_衍生指标'!L23</f>
        <v/>
      </c>
      <c r="F24" s="24">
        <f>'03_衍生指标'!M23</f>
        <v/>
      </c>
      <c r="G24" s="24">
        <f>IF(A24="","",C24*'01_动态参数'!B4+D24*'01_动态参数'!B5+E24*'01_动态参数'!B6+F24*'01_动态参数'!B7)</f>
        <v/>
      </c>
      <c r="H24" s="22">
        <f>IF(A24="","",IF(OR('03_衍生指标'!F23=1,'03_衍生指标'!G23=0,'03_衍生指标'!E23=0,AND('03_衍生指标'!H23=1,'01_动态参数'!B16=1)),"否决","通过"))</f>
        <v/>
      </c>
      <c r="I24" s="22">
        <f>IF(A24="","",IF(H24="否决","淘汰",IF(G24&gt;=8,"S",IF(G24&gt;=7,"A",IF(G24&gt;=6,"B",IF(G24&gt;=5,"C","淘汰"))))))</f>
        <v/>
      </c>
      <c r="J24" s="22">
        <f>IF(A24="","",IF(H24="否决","触发否决："&amp;IF('03_衍生指标'!F23=1,"评分数超限 ","")&amp;IF('03_衍生指标'!G23=0,"增长率不达标 ","")&amp;IF('03_衍生指标'!E23=0,"毛利率不足 ","")&amp;IF(AND('03_衍生指标'!H23=1,'01_动态参数'!B16=1),"自营不接受",""),"推荐：竞争/增长/利润/门槛综合达标"))</f>
        <v/>
      </c>
      <c r="K24" s="22">
        <f>'02_ASIN原始数据'!C23</f>
        <v/>
      </c>
      <c r="L24" s="22">
        <f>'02_ASIN原始数据'!D23</f>
        <v/>
      </c>
    </row>
    <row r="25">
      <c r="A25" s="22">
        <f>'03_衍生指标'!A24</f>
        <v/>
      </c>
      <c r="B25" s="22">
        <f>'02_ASIN原始数据'!B24</f>
        <v/>
      </c>
      <c r="C25" s="24">
        <f>'03_衍生指标'!J24</f>
        <v/>
      </c>
      <c r="D25" s="24">
        <f>'03_衍生指标'!K24</f>
        <v/>
      </c>
      <c r="E25" s="24">
        <f>'03_衍生指标'!L24</f>
        <v/>
      </c>
      <c r="F25" s="24">
        <f>'03_衍生指标'!M24</f>
        <v/>
      </c>
      <c r="G25" s="24">
        <f>IF(A25="","",C25*'01_动态参数'!B4+D25*'01_动态参数'!B5+E25*'01_动态参数'!B6+F25*'01_动态参数'!B7)</f>
        <v/>
      </c>
      <c r="H25" s="22">
        <f>IF(A25="","",IF(OR('03_衍生指标'!F24=1,'03_衍生指标'!G24=0,'03_衍生指标'!E24=0,AND('03_衍生指标'!H24=1,'01_动态参数'!B16=1)),"否决","通过"))</f>
        <v/>
      </c>
      <c r="I25" s="22">
        <f>IF(A25="","",IF(H25="否决","淘汰",IF(G25&gt;=8,"S",IF(G25&gt;=7,"A",IF(G25&gt;=6,"B",IF(G25&gt;=5,"C","淘汰"))))))</f>
        <v/>
      </c>
      <c r="J25" s="22">
        <f>IF(A25="","",IF(H25="否决","触发否决："&amp;IF('03_衍生指标'!F24=1,"评分数超限 ","")&amp;IF('03_衍生指标'!G24=0,"增长率不达标 ","")&amp;IF('03_衍生指标'!E24=0,"毛利率不足 ","")&amp;IF(AND('03_衍生指标'!H24=1,'01_动态参数'!B16=1),"自营不接受",""),"推荐：竞争/增长/利润/门槛综合达标"))</f>
        <v/>
      </c>
      <c r="K25" s="22">
        <f>'02_ASIN原始数据'!C24</f>
        <v/>
      </c>
      <c r="L25" s="22">
        <f>'02_ASIN原始数据'!D24</f>
        <v/>
      </c>
    </row>
    <row r="26">
      <c r="A26" s="22">
        <f>'03_衍生指标'!A25</f>
        <v/>
      </c>
      <c r="B26" s="22">
        <f>'02_ASIN原始数据'!B25</f>
        <v/>
      </c>
      <c r="C26" s="24">
        <f>'03_衍生指标'!J25</f>
        <v/>
      </c>
      <c r="D26" s="24">
        <f>'03_衍生指标'!K25</f>
        <v/>
      </c>
      <c r="E26" s="24">
        <f>'03_衍生指标'!L25</f>
        <v/>
      </c>
      <c r="F26" s="24">
        <f>'03_衍生指标'!M25</f>
        <v/>
      </c>
      <c r="G26" s="24">
        <f>IF(A26="","",C26*'01_动态参数'!B4+D26*'01_动态参数'!B5+E26*'01_动态参数'!B6+F26*'01_动态参数'!B7)</f>
        <v/>
      </c>
      <c r="H26" s="22">
        <f>IF(A26="","",IF(OR('03_衍生指标'!F25=1,'03_衍生指标'!G25=0,'03_衍生指标'!E25=0,AND('03_衍生指标'!H25=1,'01_动态参数'!B16=1)),"否决","通过"))</f>
        <v/>
      </c>
      <c r="I26" s="22">
        <f>IF(A26="","",IF(H26="否决","淘汰",IF(G26&gt;=8,"S",IF(G26&gt;=7,"A",IF(G26&gt;=6,"B",IF(G26&gt;=5,"C","淘汰"))))))</f>
        <v/>
      </c>
      <c r="J26" s="22">
        <f>IF(A26="","",IF(H26="否决","触发否决："&amp;IF('03_衍生指标'!F25=1,"评分数超限 ","")&amp;IF('03_衍生指标'!G25=0,"增长率不达标 ","")&amp;IF('03_衍生指标'!E25=0,"毛利率不足 ","")&amp;IF(AND('03_衍生指标'!H25=1,'01_动态参数'!B16=1),"自营不接受",""),"推荐：竞争/增长/利润/门槛综合达标"))</f>
        <v/>
      </c>
      <c r="K26" s="22">
        <f>'02_ASIN原始数据'!C25</f>
        <v/>
      </c>
      <c r="L26" s="22">
        <f>'02_ASIN原始数据'!D25</f>
        <v/>
      </c>
    </row>
    <row r="27">
      <c r="A27" s="22">
        <f>'03_衍生指标'!A26</f>
        <v/>
      </c>
      <c r="B27" s="22">
        <f>'02_ASIN原始数据'!B26</f>
        <v/>
      </c>
      <c r="C27" s="24">
        <f>'03_衍生指标'!J26</f>
        <v/>
      </c>
      <c r="D27" s="24">
        <f>'03_衍生指标'!K26</f>
        <v/>
      </c>
      <c r="E27" s="24">
        <f>'03_衍生指标'!L26</f>
        <v/>
      </c>
      <c r="F27" s="24">
        <f>'03_衍生指标'!M26</f>
        <v/>
      </c>
      <c r="G27" s="24">
        <f>IF(A27="","",C27*'01_动态参数'!B4+D27*'01_动态参数'!B5+E27*'01_动态参数'!B6+F27*'01_动态参数'!B7)</f>
        <v/>
      </c>
      <c r="H27" s="22">
        <f>IF(A27="","",IF(OR('03_衍生指标'!F26=1,'03_衍生指标'!G26=0,'03_衍生指标'!E26=0,AND('03_衍生指标'!H26=1,'01_动态参数'!B16=1)),"否决","通过"))</f>
        <v/>
      </c>
      <c r="I27" s="22">
        <f>IF(A27="","",IF(H27="否决","淘汰",IF(G27&gt;=8,"S",IF(G27&gt;=7,"A",IF(G27&gt;=6,"B",IF(G27&gt;=5,"C","淘汰"))))))</f>
        <v/>
      </c>
      <c r="J27" s="22">
        <f>IF(A27="","",IF(H27="否决","触发否决："&amp;IF('03_衍生指标'!F26=1,"评分数超限 ","")&amp;IF('03_衍生指标'!G26=0,"增长率不达标 ","")&amp;IF('03_衍生指标'!E26=0,"毛利率不足 ","")&amp;IF(AND('03_衍生指标'!H26=1,'01_动态参数'!B16=1),"自营不接受",""),"推荐：竞争/增长/利润/门槛综合达标"))</f>
        <v/>
      </c>
      <c r="K27" s="22">
        <f>'02_ASIN原始数据'!C26</f>
        <v/>
      </c>
      <c r="L27" s="22">
        <f>'02_ASIN原始数据'!D26</f>
        <v/>
      </c>
    </row>
    <row r="28">
      <c r="A28" s="22">
        <f>'03_衍生指标'!A27</f>
        <v/>
      </c>
      <c r="B28" s="22">
        <f>'02_ASIN原始数据'!B27</f>
        <v/>
      </c>
      <c r="C28" s="24">
        <f>'03_衍生指标'!J27</f>
        <v/>
      </c>
      <c r="D28" s="24">
        <f>'03_衍生指标'!K27</f>
        <v/>
      </c>
      <c r="E28" s="24">
        <f>'03_衍生指标'!L27</f>
        <v/>
      </c>
      <c r="F28" s="24">
        <f>'03_衍生指标'!M27</f>
        <v/>
      </c>
      <c r="G28" s="24">
        <f>IF(A28="","",C28*'01_动态参数'!B4+D28*'01_动态参数'!B5+E28*'01_动态参数'!B6+F28*'01_动态参数'!B7)</f>
        <v/>
      </c>
      <c r="H28" s="22">
        <f>IF(A28="","",IF(OR('03_衍生指标'!F27=1,'03_衍生指标'!G27=0,'03_衍生指标'!E27=0,AND('03_衍生指标'!H27=1,'01_动态参数'!B16=1)),"否决","通过"))</f>
        <v/>
      </c>
      <c r="I28" s="22">
        <f>IF(A28="","",IF(H28="否决","淘汰",IF(G28&gt;=8,"S",IF(G28&gt;=7,"A",IF(G28&gt;=6,"B",IF(G28&gt;=5,"C","淘汰"))))))</f>
        <v/>
      </c>
      <c r="J28" s="22">
        <f>IF(A28="","",IF(H28="否决","触发否决："&amp;IF('03_衍生指标'!F27=1,"评分数超限 ","")&amp;IF('03_衍生指标'!G27=0,"增长率不达标 ","")&amp;IF('03_衍生指标'!E27=0,"毛利率不足 ","")&amp;IF(AND('03_衍生指标'!H27=1,'01_动态参数'!B16=1),"自营不接受",""),"推荐：竞争/增长/利润/门槛综合达标"))</f>
        <v/>
      </c>
      <c r="K28" s="22">
        <f>'02_ASIN原始数据'!C27</f>
        <v/>
      </c>
      <c r="L28" s="22">
        <f>'02_ASIN原始数据'!D27</f>
        <v/>
      </c>
    </row>
    <row r="29">
      <c r="A29" s="22">
        <f>'03_衍生指标'!A28</f>
        <v/>
      </c>
      <c r="B29" s="22">
        <f>'02_ASIN原始数据'!B28</f>
        <v/>
      </c>
      <c r="C29" s="24">
        <f>'03_衍生指标'!J28</f>
        <v/>
      </c>
      <c r="D29" s="24">
        <f>'03_衍生指标'!K28</f>
        <v/>
      </c>
      <c r="E29" s="24">
        <f>'03_衍生指标'!L28</f>
        <v/>
      </c>
      <c r="F29" s="24">
        <f>'03_衍生指标'!M28</f>
        <v/>
      </c>
      <c r="G29" s="24">
        <f>IF(A29="","",C29*'01_动态参数'!B4+D29*'01_动态参数'!B5+E29*'01_动态参数'!B6+F29*'01_动态参数'!B7)</f>
        <v/>
      </c>
      <c r="H29" s="22">
        <f>IF(A29="","",IF(OR('03_衍生指标'!F28=1,'03_衍生指标'!G28=0,'03_衍生指标'!E28=0,AND('03_衍生指标'!H28=1,'01_动态参数'!B16=1)),"否决","通过"))</f>
        <v/>
      </c>
      <c r="I29" s="22">
        <f>IF(A29="","",IF(H29="否决","淘汰",IF(G29&gt;=8,"S",IF(G29&gt;=7,"A",IF(G29&gt;=6,"B",IF(G29&gt;=5,"C","淘汰"))))))</f>
        <v/>
      </c>
      <c r="J29" s="22">
        <f>IF(A29="","",IF(H29="否决","触发否决："&amp;IF('03_衍生指标'!F28=1,"评分数超限 ","")&amp;IF('03_衍生指标'!G28=0,"增长率不达标 ","")&amp;IF('03_衍生指标'!E28=0,"毛利率不足 ","")&amp;IF(AND('03_衍生指标'!H28=1,'01_动态参数'!B16=1),"自营不接受",""),"推荐：竞争/增长/利润/门槛综合达标"))</f>
        <v/>
      </c>
      <c r="K29" s="22">
        <f>'02_ASIN原始数据'!C28</f>
        <v/>
      </c>
      <c r="L29" s="22">
        <f>'02_ASIN原始数据'!D28</f>
        <v/>
      </c>
    </row>
    <row r="30">
      <c r="A30" s="22">
        <f>'03_衍生指标'!A29</f>
        <v/>
      </c>
      <c r="B30" s="22">
        <f>'02_ASIN原始数据'!B29</f>
        <v/>
      </c>
      <c r="C30" s="24">
        <f>'03_衍生指标'!J29</f>
        <v/>
      </c>
      <c r="D30" s="24">
        <f>'03_衍生指标'!K29</f>
        <v/>
      </c>
      <c r="E30" s="24">
        <f>'03_衍生指标'!L29</f>
        <v/>
      </c>
      <c r="F30" s="24">
        <f>'03_衍生指标'!M29</f>
        <v/>
      </c>
      <c r="G30" s="24">
        <f>IF(A30="","",C30*'01_动态参数'!B4+D30*'01_动态参数'!B5+E30*'01_动态参数'!B6+F30*'01_动态参数'!B7)</f>
        <v/>
      </c>
      <c r="H30" s="22">
        <f>IF(A30="","",IF(OR('03_衍生指标'!F29=1,'03_衍生指标'!G29=0,'03_衍生指标'!E29=0,AND('03_衍生指标'!H29=1,'01_动态参数'!B16=1)),"否决","通过"))</f>
        <v/>
      </c>
      <c r="I30" s="22">
        <f>IF(A30="","",IF(H30="否决","淘汰",IF(G30&gt;=8,"S",IF(G30&gt;=7,"A",IF(G30&gt;=6,"B",IF(G30&gt;=5,"C","淘汰"))))))</f>
        <v/>
      </c>
      <c r="J30" s="22">
        <f>IF(A30="","",IF(H30="否决","触发否决："&amp;IF('03_衍生指标'!F29=1,"评分数超限 ","")&amp;IF('03_衍生指标'!G29=0,"增长率不达标 ","")&amp;IF('03_衍生指标'!E29=0,"毛利率不足 ","")&amp;IF(AND('03_衍生指标'!H29=1,'01_动态参数'!B16=1),"自营不接受",""),"推荐：竞争/增长/利润/门槛综合达标"))</f>
        <v/>
      </c>
      <c r="K30" s="22">
        <f>'02_ASIN原始数据'!C29</f>
        <v/>
      </c>
      <c r="L30" s="22">
        <f>'02_ASIN原始数据'!D29</f>
        <v/>
      </c>
    </row>
    <row r="31">
      <c r="A31" s="22">
        <f>'03_衍生指标'!A30</f>
        <v/>
      </c>
      <c r="B31" s="22">
        <f>'02_ASIN原始数据'!B30</f>
        <v/>
      </c>
      <c r="C31" s="24">
        <f>'03_衍生指标'!J30</f>
        <v/>
      </c>
      <c r="D31" s="24">
        <f>'03_衍生指标'!K30</f>
        <v/>
      </c>
      <c r="E31" s="24">
        <f>'03_衍生指标'!L30</f>
        <v/>
      </c>
      <c r="F31" s="24">
        <f>'03_衍生指标'!M30</f>
        <v/>
      </c>
      <c r="G31" s="24">
        <f>IF(A31="","",C31*'01_动态参数'!B4+D31*'01_动态参数'!B5+E31*'01_动态参数'!B6+F31*'01_动态参数'!B7)</f>
        <v/>
      </c>
      <c r="H31" s="22">
        <f>IF(A31="","",IF(OR('03_衍生指标'!F30=1,'03_衍生指标'!G30=0,'03_衍生指标'!E30=0,AND('03_衍生指标'!H30=1,'01_动态参数'!B16=1)),"否决","通过"))</f>
        <v/>
      </c>
      <c r="I31" s="22">
        <f>IF(A31="","",IF(H31="否决","淘汰",IF(G31&gt;=8,"S",IF(G31&gt;=7,"A",IF(G31&gt;=6,"B",IF(G31&gt;=5,"C","淘汰"))))))</f>
        <v/>
      </c>
      <c r="J31" s="22">
        <f>IF(A31="","",IF(H31="否决","触发否决："&amp;IF('03_衍生指标'!F30=1,"评分数超限 ","")&amp;IF('03_衍生指标'!G30=0,"增长率不达标 ","")&amp;IF('03_衍生指标'!E30=0,"毛利率不足 ","")&amp;IF(AND('03_衍生指标'!H30=1,'01_动态参数'!B16=1),"自营不接受",""),"推荐：竞争/增长/利润/门槛综合达标"))</f>
        <v/>
      </c>
      <c r="K31" s="22">
        <f>'02_ASIN原始数据'!C30</f>
        <v/>
      </c>
      <c r="L31" s="22">
        <f>'02_ASIN原始数据'!D30</f>
        <v/>
      </c>
    </row>
    <row r="32">
      <c r="A32" s="22">
        <f>'03_衍生指标'!A31</f>
        <v/>
      </c>
      <c r="B32" s="22">
        <f>'02_ASIN原始数据'!B31</f>
        <v/>
      </c>
      <c r="C32" s="24">
        <f>'03_衍生指标'!J31</f>
        <v/>
      </c>
      <c r="D32" s="24">
        <f>'03_衍生指标'!K31</f>
        <v/>
      </c>
      <c r="E32" s="24">
        <f>'03_衍生指标'!L31</f>
        <v/>
      </c>
      <c r="F32" s="24">
        <f>'03_衍生指标'!M31</f>
        <v/>
      </c>
      <c r="G32" s="24">
        <f>IF(A32="","",C32*'01_动态参数'!B4+D32*'01_动态参数'!B5+E32*'01_动态参数'!B6+F32*'01_动态参数'!B7)</f>
        <v/>
      </c>
      <c r="H32" s="22">
        <f>IF(A32="","",IF(OR('03_衍生指标'!F31=1,'03_衍生指标'!G31=0,'03_衍生指标'!E31=0,AND('03_衍生指标'!H31=1,'01_动态参数'!B16=1)),"否决","通过"))</f>
        <v/>
      </c>
      <c r="I32" s="22">
        <f>IF(A32="","",IF(H32="否决","淘汰",IF(G32&gt;=8,"S",IF(G32&gt;=7,"A",IF(G32&gt;=6,"B",IF(G32&gt;=5,"C","淘汰"))))))</f>
        <v/>
      </c>
      <c r="J32" s="22">
        <f>IF(A32="","",IF(H32="否决","触发否决："&amp;IF('03_衍生指标'!F31=1,"评分数超限 ","")&amp;IF('03_衍生指标'!G31=0,"增长率不达标 ","")&amp;IF('03_衍生指标'!E31=0,"毛利率不足 ","")&amp;IF(AND('03_衍生指标'!H31=1,'01_动态参数'!B16=1),"自营不接受",""),"推荐：竞争/增长/利润/门槛综合达标"))</f>
        <v/>
      </c>
      <c r="K32" s="22">
        <f>'02_ASIN原始数据'!C31</f>
        <v/>
      </c>
      <c r="L32" s="22">
        <f>'02_ASIN原始数据'!D31</f>
        <v/>
      </c>
    </row>
    <row r="33">
      <c r="A33" s="22">
        <f>'03_衍生指标'!A32</f>
        <v/>
      </c>
      <c r="B33" s="22">
        <f>'02_ASIN原始数据'!B32</f>
        <v/>
      </c>
      <c r="C33" s="24">
        <f>'03_衍生指标'!J32</f>
        <v/>
      </c>
      <c r="D33" s="24">
        <f>'03_衍生指标'!K32</f>
        <v/>
      </c>
      <c r="E33" s="24">
        <f>'03_衍生指标'!L32</f>
        <v/>
      </c>
      <c r="F33" s="24">
        <f>'03_衍生指标'!M32</f>
        <v/>
      </c>
      <c r="G33" s="24">
        <f>IF(A33="","",C33*'01_动态参数'!B4+D33*'01_动态参数'!B5+E33*'01_动态参数'!B6+F33*'01_动态参数'!B7)</f>
        <v/>
      </c>
      <c r="H33" s="22">
        <f>IF(A33="","",IF(OR('03_衍生指标'!F32=1,'03_衍生指标'!G32=0,'03_衍生指标'!E32=0,AND('03_衍生指标'!H32=1,'01_动态参数'!B16=1)),"否决","通过"))</f>
        <v/>
      </c>
      <c r="I33" s="22">
        <f>IF(A33="","",IF(H33="否决","淘汰",IF(G33&gt;=8,"S",IF(G33&gt;=7,"A",IF(G33&gt;=6,"B",IF(G33&gt;=5,"C","淘汰"))))))</f>
        <v/>
      </c>
      <c r="J33" s="22">
        <f>IF(A33="","",IF(H33="否决","触发否决："&amp;IF('03_衍生指标'!F32=1,"评分数超限 ","")&amp;IF('03_衍生指标'!G32=0,"增长率不达标 ","")&amp;IF('03_衍生指标'!E32=0,"毛利率不足 ","")&amp;IF(AND('03_衍生指标'!H32=1,'01_动态参数'!B16=1),"自营不接受",""),"推荐：竞争/增长/利润/门槛综合达标"))</f>
        <v/>
      </c>
      <c r="K33" s="22">
        <f>'02_ASIN原始数据'!C32</f>
        <v/>
      </c>
      <c r="L33" s="22">
        <f>'02_ASIN原始数据'!D32</f>
        <v/>
      </c>
    </row>
    <row r="34">
      <c r="A34" s="22">
        <f>'03_衍生指标'!A33</f>
        <v/>
      </c>
      <c r="B34" s="22">
        <f>'02_ASIN原始数据'!B33</f>
        <v/>
      </c>
      <c r="C34" s="24">
        <f>'03_衍生指标'!J33</f>
        <v/>
      </c>
      <c r="D34" s="24">
        <f>'03_衍生指标'!K33</f>
        <v/>
      </c>
      <c r="E34" s="24">
        <f>'03_衍生指标'!L33</f>
        <v/>
      </c>
      <c r="F34" s="24">
        <f>'03_衍生指标'!M33</f>
        <v/>
      </c>
      <c r="G34" s="24">
        <f>IF(A34="","",C34*'01_动态参数'!B4+D34*'01_动态参数'!B5+E34*'01_动态参数'!B6+F34*'01_动态参数'!B7)</f>
        <v/>
      </c>
      <c r="H34" s="22">
        <f>IF(A34="","",IF(OR('03_衍生指标'!F33=1,'03_衍生指标'!G33=0,'03_衍生指标'!E33=0,AND('03_衍生指标'!H33=1,'01_动态参数'!B16=1)),"否决","通过"))</f>
        <v/>
      </c>
      <c r="I34" s="22">
        <f>IF(A34="","",IF(H34="否决","淘汰",IF(G34&gt;=8,"S",IF(G34&gt;=7,"A",IF(G34&gt;=6,"B",IF(G34&gt;=5,"C","淘汰"))))))</f>
        <v/>
      </c>
      <c r="J34" s="22">
        <f>IF(A34="","",IF(H34="否决","触发否决："&amp;IF('03_衍生指标'!F33=1,"评分数超限 ","")&amp;IF('03_衍生指标'!G33=0,"增长率不达标 ","")&amp;IF('03_衍生指标'!E33=0,"毛利率不足 ","")&amp;IF(AND('03_衍生指标'!H33=1,'01_动态参数'!B16=1),"自营不接受",""),"推荐：竞争/增长/利润/门槛综合达标"))</f>
        <v/>
      </c>
      <c r="K34" s="22">
        <f>'02_ASIN原始数据'!C33</f>
        <v/>
      </c>
      <c r="L34" s="22">
        <f>'02_ASIN原始数据'!D33</f>
        <v/>
      </c>
    </row>
    <row r="35">
      <c r="A35" s="22">
        <f>'03_衍生指标'!A34</f>
        <v/>
      </c>
      <c r="B35" s="22">
        <f>'02_ASIN原始数据'!B34</f>
        <v/>
      </c>
      <c r="C35" s="24">
        <f>'03_衍生指标'!J34</f>
        <v/>
      </c>
      <c r="D35" s="24">
        <f>'03_衍生指标'!K34</f>
        <v/>
      </c>
      <c r="E35" s="24">
        <f>'03_衍生指标'!L34</f>
        <v/>
      </c>
      <c r="F35" s="24">
        <f>'03_衍生指标'!M34</f>
        <v/>
      </c>
      <c r="G35" s="24">
        <f>IF(A35="","",C35*'01_动态参数'!B4+D35*'01_动态参数'!B5+E35*'01_动态参数'!B6+F35*'01_动态参数'!B7)</f>
        <v/>
      </c>
      <c r="H35" s="22">
        <f>IF(A35="","",IF(OR('03_衍生指标'!F34=1,'03_衍生指标'!G34=0,'03_衍生指标'!E34=0,AND('03_衍生指标'!H34=1,'01_动态参数'!B16=1)),"否决","通过"))</f>
        <v/>
      </c>
      <c r="I35" s="22">
        <f>IF(A35="","",IF(H35="否决","淘汰",IF(G35&gt;=8,"S",IF(G35&gt;=7,"A",IF(G35&gt;=6,"B",IF(G35&gt;=5,"C","淘汰"))))))</f>
        <v/>
      </c>
      <c r="J35" s="22">
        <f>IF(A35="","",IF(H35="否决","触发否决："&amp;IF('03_衍生指标'!F34=1,"评分数超限 ","")&amp;IF('03_衍生指标'!G34=0,"增长率不达标 ","")&amp;IF('03_衍生指标'!E34=0,"毛利率不足 ","")&amp;IF(AND('03_衍生指标'!H34=1,'01_动态参数'!B16=1),"自营不接受",""),"推荐：竞争/增长/利润/门槛综合达标"))</f>
        <v/>
      </c>
      <c r="K35" s="22">
        <f>'02_ASIN原始数据'!C34</f>
        <v/>
      </c>
      <c r="L35" s="22">
        <f>'02_ASIN原始数据'!D34</f>
        <v/>
      </c>
    </row>
    <row r="36">
      <c r="A36" s="22">
        <f>'03_衍生指标'!A35</f>
        <v/>
      </c>
      <c r="B36" s="22">
        <f>'02_ASIN原始数据'!B35</f>
        <v/>
      </c>
      <c r="C36" s="24">
        <f>'03_衍生指标'!J35</f>
        <v/>
      </c>
      <c r="D36" s="24">
        <f>'03_衍生指标'!K35</f>
        <v/>
      </c>
      <c r="E36" s="24">
        <f>'03_衍生指标'!L35</f>
        <v/>
      </c>
      <c r="F36" s="24">
        <f>'03_衍生指标'!M35</f>
        <v/>
      </c>
      <c r="G36" s="24">
        <f>IF(A36="","",C36*'01_动态参数'!B4+D36*'01_动态参数'!B5+E36*'01_动态参数'!B6+F36*'01_动态参数'!B7)</f>
        <v/>
      </c>
      <c r="H36" s="22">
        <f>IF(A36="","",IF(OR('03_衍生指标'!F35=1,'03_衍生指标'!G35=0,'03_衍生指标'!E35=0,AND('03_衍生指标'!H35=1,'01_动态参数'!B16=1)),"否决","通过"))</f>
        <v/>
      </c>
      <c r="I36" s="22">
        <f>IF(A36="","",IF(H36="否决","淘汰",IF(G36&gt;=8,"S",IF(G36&gt;=7,"A",IF(G36&gt;=6,"B",IF(G36&gt;=5,"C","淘汰"))))))</f>
        <v/>
      </c>
      <c r="J36" s="22">
        <f>IF(A36="","",IF(H36="否决","触发否决："&amp;IF('03_衍生指标'!F35=1,"评分数超限 ","")&amp;IF('03_衍生指标'!G35=0,"增长率不达标 ","")&amp;IF('03_衍生指标'!E35=0,"毛利率不足 ","")&amp;IF(AND('03_衍生指标'!H35=1,'01_动态参数'!B16=1),"自营不接受",""),"推荐：竞争/增长/利润/门槛综合达标"))</f>
        <v/>
      </c>
      <c r="K36" s="22">
        <f>'02_ASIN原始数据'!C35</f>
        <v/>
      </c>
      <c r="L36" s="22">
        <f>'02_ASIN原始数据'!D35</f>
        <v/>
      </c>
    </row>
    <row r="37">
      <c r="A37" s="22">
        <f>'03_衍生指标'!A36</f>
        <v/>
      </c>
      <c r="B37" s="22">
        <f>'02_ASIN原始数据'!B36</f>
        <v/>
      </c>
      <c r="C37" s="24">
        <f>'03_衍生指标'!J36</f>
        <v/>
      </c>
      <c r="D37" s="24">
        <f>'03_衍生指标'!K36</f>
        <v/>
      </c>
      <c r="E37" s="24">
        <f>'03_衍生指标'!L36</f>
        <v/>
      </c>
      <c r="F37" s="24">
        <f>'03_衍生指标'!M36</f>
        <v/>
      </c>
      <c r="G37" s="24">
        <f>IF(A37="","",C37*'01_动态参数'!B4+D37*'01_动态参数'!B5+E37*'01_动态参数'!B6+F37*'01_动态参数'!B7)</f>
        <v/>
      </c>
      <c r="H37" s="22">
        <f>IF(A37="","",IF(OR('03_衍生指标'!F36=1,'03_衍生指标'!G36=0,'03_衍生指标'!E36=0,AND('03_衍生指标'!H36=1,'01_动态参数'!B16=1)),"否决","通过"))</f>
        <v/>
      </c>
      <c r="I37" s="22">
        <f>IF(A37="","",IF(H37="否决","淘汰",IF(G37&gt;=8,"S",IF(G37&gt;=7,"A",IF(G37&gt;=6,"B",IF(G37&gt;=5,"C","淘汰"))))))</f>
        <v/>
      </c>
      <c r="J37" s="22">
        <f>IF(A37="","",IF(H37="否决","触发否决："&amp;IF('03_衍生指标'!F36=1,"评分数超限 ","")&amp;IF('03_衍生指标'!G36=0,"增长率不达标 ","")&amp;IF('03_衍生指标'!E36=0,"毛利率不足 ","")&amp;IF(AND('03_衍生指标'!H36=1,'01_动态参数'!B16=1),"自营不接受",""),"推荐：竞争/增长/利润/门槛综合达标"))</f>
        <v/>
      </c>
      <c r="K37" s="22">
        <f>'02_ASIN原始数据'!C36</f>
        <v/>
      </c>
      <c r="L37" s="22">
        <f>'02_ASIN原始数据'!D36</f>
        <v/>
      </c>
    </row>
    <row r="38">
      <c r="A38" s="22">
        <f>'03_衍生指标'!A37</f>
        <v/>
      </c>
      <c r="B38" s="22">
        <f>'02_ASIN原始数据'!B37</f>
        <v/>
      </c>
      <c r="C38" s="24">
        <f>'03_衍生指标'!J37</f>
        <v/>
      </c>
      <c r="D38" s="24">
        <f>'03_衍生指标'!K37</f>
        <v/>
      </c>
      <c r="E38" s="24">
        <f>'03_衍生指标'!L37</f>
        <v/>
      </c>
      <c r="F38" s="24">
        <f>'03_衍生指标'!M37</f>
        <v/>
      </c>
      <c r="G38" s="24">
        <f>IF(A38="","",C38*'01_动态参数'!B4+D38*'01_动态参数'!B5+E38*'01_动态参数'!B6+F38*'01_动态参数'!B7)</f>
        <v/>
      </c>
      <c r="H38" s="22">
        <f>IF(A38="","",IF(OR('03_衍生指标'!F37=1,'03_衍生指标'!G37=0,'03_衍生指标'!E37=0,AND('03_衍生指标'!H37=1,'01_动态参数'!B16=1)),"否决","通过"))</f>
        <v/>
      </c>
      <c r="I38" s="22">
        <f>IF(A38="","",IF(H38="否决","淘汰",IF(G38&gt;=8,"S",IF(G38&gt;=7,"A",IF(G38&gt;=6,"B",IF(G38&gt;=5,"C","淘汰"))))))</f>
        <v/>
      </c>
      <c r="J38" s="22">
        <f>IF(A38="","",IF(H38="否决","触发否决："&amp;IF('03_衍生指标'!F37=1,"评分数超限 ","")&amp;IF('03_衍生指标'!G37=0,"增长率不达标 ","")&amp;IF('03_衍生指标'!E37=0,"毛利率不足 ","")&amp;IF(AND('03_衍生指标'!H37=1,'01_动态参数'!B16=1),"自营不接受",""),"推荐：竞争/增长/利润/门槛综合达标"))</f>
        <v/>
      </c>
      <c r="K38" s="22">
        <f>'02_ASIN原始数据'!C37</f>
        <v/>
      </c>
      <c r="L38" s="22">
        <f>'02_ASIN原始数据'!D37</f>
        <v/>
      </c>
    </row>
    <row r="39">
      <c r="A39" s="22">
        <f>'03_衍生指标'!A38</f>
        <v/>
      </c>
      <c r="B39" s="22">
        <f>'02_ASIN原始数据'!B38</f>
        <v/>
      </c>
      <c r="C39" s="24">
        <f>'03_衍生指标'!J38</f>
        <v/>
      </c>
      <c r="D39" s="24">
        <f>'03_衍生指标'!K38</f>
        <v/>
      </c>
      <c r="E39" s="24">
        <f>'03_衍生指标'!L38</f>
        <v/>
      </c>
      <c r="F39" s="24">
        <f>'03_衍生指标'!M38</f>
        <v/>
      </c>
      <c r="G39" s="24">
        <f>IF(A39="","",C39*'01_动态参数'!B4+D39*'01_动态参数'!B5+E39*'01_动态参数'!B6+F39*'01_动态参数'!B7)</f>
        <v/>
      </c>
      <c r="H39" s="22">
        <f>IF(A39="","",IF(OR('03_衍生指标'!F38=1,'03_衍生指标'!G38=0,'03_衍生指标'!E38=0,AND('03_衍生指标'!H38=1,'01_动态参数'!B16=1)),"否决","通过"))</f>
        <v/>
      </c>
      <c r="I39" s="22">
        <f>IF(A39="","",IF(H39="否决","淘汰",IF(G39&gt;=8,"S",IF(G39&gt;=7,"A",IF(G39&gt;=6,"B",IF(G39&gt;=5,"C","淘汰"))))))</f>
        <v/>
      </c>
      <c r="J39" s="22">
        <f>IF(A39="","",IF(H39="否决","触发否决："&amp;IF('03_衍生指标'!F38=1,"评分数超限 ","")&amp;IF('03_衍生指标'!G38=0,"增长率不达标 ","")&amp;IF('03_衍生指标'!E38=0,"毛利率不足 ","")&amp;IF(AND('03_衍生指标'!H38=1,'01_动态参数'!B16=1),"自营不接受",""),"推荐：竞争/增长/利润/门槛综合达标"))</f>
        <v/>
      </c>
      <c r="K39" s="22">
        <f>'02_ASIN原始数据'!C38</f>
        <v/>
      </c>
      <c r="L39" s="22">
        <f>'02_ASIN原始数据'!D38</f>
        <v/>
      </c>
    </row>
    <row r="40">
      <c r="A40" s="22">
        <f>'03_衍生指标'!A39</f>
        <v/>
      </c>
      <c r="B40" s="22">
        <f>'02_ASIN原始数据'!B39</f>
        <v/>
      </c>
      <c r="C40" s="24">
        <f>'03_衍生指标'!J39</f>
        <v/>
      </c>
      <c r="D40" s="24">
        <f>'03_衍生指标'!K39</f>
        <v/>
      </c>
      <c r="E40" s="24">
        <f>'03_衍生指标'!L39</f>
        <v/>
      </c>
      <c r="F40" s="24">
        <f>'03_衍生指标'!M39</f>
        <v/>
      </c>
      <c r="G40" s="24">
        <f>IF(A40="","",C40*'01_动态参数'!B4+D40*'01_动态参数'!B5+E40*'01_动态参数'!B6+F40*'01_动态参数'!B7)</f>
        <v/>
      </c>
      <c r="H40" s="22">
        <f>IF(A40="","",IF(OR('03_衍生指标'!F39=1,'03_衍生指标'!G39=0,'03_衍生指标'!E39=0,AND('03_衍生指标'!H39=1,'01_动态参数'!B16=1)),"否决","通过"))</f>
        <v/>
      </c>
      <c r="I40" s="22">
        <f>IF(A40="","",IF(H40="否决","淘汰",IF(G40&gt;=8,"S",IF(G40&gt;=7,"A",IF(G40&gt;=6,"B",IF(G40&gt;=5,"C","淘汰"))))))</f>
        <v/>
      </c>
      <c r="J40" s="22">
        <f>IF(A40="","",IF(H40="否决","触发否决："&amp;IF('03_衍生指标'!F39=1,"评分数超限 ","")&amp;IF('03_衍生指标'!G39=0,"增长率不达标 ","")&amp;IF('03_衍生指标'!E39=0,"毛利率不足 ","")&amp;IF(AND('03_衍生指标'!H39=1,'01_动态参数'!B16=1),"自营不接受",""),"推荐：竞争/增长/利润/门槛综合达标"))</f>
        <v/>
      </c>
      <c r="K40" s="22">
        <f>'02_ASIN原始数据'!C39</f>
        <v/>
      </c>
      <c r="L40" s="22">
        <f>'02_ASIN原始数据'!D39</f>
        <v/>
      </c>
    </row>
    <row r="41">
      <c r="A41" s="22">
        <f>'03_衍生指标'!A40</f>
        <v/>
      </c>
      <c r="B41" s="22">
        <f>'02_ASIN原始数据'!B40</f>
        <v/>
      </c>
      <c r="C41" s="24">
        <f>'03_衍生指标'!J40</f>
        <v/>
      </c>
      <c r="D41" s="24">
        <f>'03_衍生指标'!K40</f>
        <v/>
      </c>
      <c r="E41" s="24">
        <f>'03_衍生指标'!L40</f>
        <v/>
      </c>
      <c r="F41" s="24">
        <f>'03_衍生指标'!M40</f>
        <v/>
      </c>
      <c r="G41" s="24">
        <f>IF(A41="","",C41*'01_动态参数'!B4+D41*'01_动态参数'!B5+E41*'01_动态参数'!B6+F41*'01_动态参数'!B7)</f>
        <v/>
      </c>
      <c r="H41" s="22">
        <f>IF(A41="","",IF(OR('03_衍生指标'!F40=1,'03_衍生指标'!G40=0,'03_衍生指标'!E40=0,AND('03_衍生指标'!H40=1,'01_动态参数'!B16=1)),"否决","通过"))</f>
        <v/>
      </c>
      <c r="I41" s="22">
        <f>IF(A41="","",IF(H41="否决","淘汰",IF(G41&gt;=8,"S",IF(G41&gt;=7,"A",IF(G41&gt;=6,"B",IF(G41&gt;=5,"C","淘汰"))))))</f>
        <v/>
      </c>
      <c r="J41" s="22">
        <f>IF(A41="","",IF(H41="否决","触发否决："&amp;IF('03_衍生指标'!F40=1,"评分数超限 ","")&amp;IF('03_衍生指标'!G40=0,"增长率不达标 ","")&amp;IF('03_衍生指标'!E40=0,"毛利率不足 ","")&amp;IF(AND('03_衍生指标'!H40=1,'01_动态参数'!B16=1),"自营不接受",""),"推荐：竞争/增长/利润/门槛综合达标"))</f>
        <v/>
      </c>
      <c r="K41" s="22">
        <f>'02_ASIN原始数据'!C40</f>
        <v/>
      </c>
      <c r="L41" s="22">
        <f>'02_ASIN原始数据'!D40</f>
        <v/>
      </c>
    </row>
    <row r="42">
      <c r="A42" s="22">
        <f>'03_衍生指标'!A41</f>
        <v/>
      </c>
      <c r="B42" s="22">
        <f>'02_ASIN原始数据'!B41</f>
        <v/>
      </c>
      <c r="C42" s="24">
        <f>'03_衍生指标'!J41</f>
        <v/>
      </c>
      <c r="D42" s="24">
        <f>'03_衍生指标'!K41</f>
        <v/>
      </c>
      <c r="E42" s="24">
        <f>'03_衍生指标'!L41</f>
        <v/>
      </c>
      <c r="F42" s="24">
        <f>'03_衍生指标'!M41</f>
        <v/>
      </c>
      <c r="G42" s="24">
        <f>IF(A42="","",C42*'01_动态参数'!B4+D42*'01_动态参数'!B5+E42*'01_动态参数'!B6+F42*'01_动态参数'!B7)</f>
        <v/>
      </c>
      <c r="H42" s="22">
        <f>IF(A42="","",IF(OR('03_衍生指标'!F41=1,'03_衍生指标'!G41=0,'03_衍生指标'!E41=0,AND('03_衍生指标'!H41=1,'01_动态参数'!B16=1)),"否决","通过"))</f>
        <v/>
      </c>
      <c r="I42" s="22">
        <f>IF(A42="","",IF(H42="否决","淘汰",IF(G42&gt;=8,"S",IF(G42&gt;=7,"A",IF(G42&gt;=6,"B",IF(G42&gt;=5,"C","淘汰"))))))</f>
        <v/>
      </c>
      <c r="J42" s="22">
        <f>IF(A42="","",IF(H42="否决","触发否决："&amp;IF('03_衍生指标'!F41=1,"评分数超限 ","")&amp;IF('03_衍生指标'!G41=0,"增长率不达标 ","")&amp;IF('03_衍生指标'!E41=0,"毛利率不足 ","")&amp;IF(AND('03_衍生指标'!H41=1,'01_动态参数'!B16=1),"自营不接受",""),"推荐：竞争/增长/利润/门槛综合达标"))</f>
        <v/>
      </c>
      <c r="K42" s="22">
        <f>'02_ASIN原始数据'!C41</f>
        <v/>
      </c>
      <c r="L42" s="22">
        <f>'02_ASIN原始数据'!D41</f>
        <v/>
      </c>
    </row>
    <row r="43">
      <c r="A43" s="22">
        <f>'03_衍生指标'!A42</f>
        <v/>
      </c>
      <c r="B43" s="22">
        <f>'02_ASIN原始数据'!B42</f>
        <v/>
      </c>
      <c r="C43" s="24">
        <f>'03_衍生指标'!J42</f>
        <v/>
      </c>
      <c r="D43" s="24">
        <f>'03_衍生指标'!K42</f>
        <v/>
      </c>
      <c r="E43" s="24">
        <f>'03_衍生指标'!L42</f>
        <v/>
      </c>
      <c r="F43" s="24">
        <f>'03_衍生指标'!M42</f>
        <v/>
      </c>
      <c r="G43" s="24">
        <f>IF(A43="","",C43*'01_动态参数'!B4+D43*'01_动态参数'!B5+E43*'01_动态参数'!B6+F43*'01_动态参数'!B7)</f>
        <v/>
      </c>
      <c r="H43" s="22">
        <f>IF(A43="","",IF(OR('03_衍生指标'!F42=1,'03_衍生指标'!G42=0,'03_衍生指标'!E42=0,AND('03_衍生指标'!H42=1,'01_动态参数'!B16=1)),"否决","通过"))</f>
        <v/>
      </c>
      <c r="I43" s="22">
        <f>IF(A43="","",IF(H43="否决","淘汰",IF(G43&gt;=8,"S",IF(G43&gt;=7,"A",IF(G43&gt;=6,"B",IF(G43&gt;=5,"C","淘汰"))))))</f>
        <v/>
      </c>
      <c r="J43" s="22">
        <f>IF(A43="","",IF(H43="否决","触发否决："&amp;IF('03_衍生指标'!F42=1,"评分数超限 ","")&amp;IF('03_衍生指标'!G42=0,"增长率不达标 ","")&amp;IF('03_衍生指标'!E42=0,"毛利率不足 ","")&amp;IF(AND('03_衍生指标'!H42=1,'01_动态参数'!B16=1),"自营不接受",""),"推荐：竞争/增长/利润/门槛综合达标"))</f>
        <v/>
      </c>
      <c r="K43" s="22">
        <f>'02_ASIN原始数据'!C42</f>
        <v/>
      </c>
      <c r="L43" s="22">
        <f>'02_ASIN原始数据'!D42</f>
        <v/>
      </c>
    </row>
    <row r="44">
      <c r="A44" s="22">
        <f>'03_衍生指标'!A43</f>
        <v/>
      </c>
      <c r="B44" s="22">
        <f>'02_ASIN原始数据'!B43</f>
        <v/>
      </c>
      <c r="C44" s="24">
        <f>'03_衍生指标'!J43</f>
        <v/>
      </c>
      <c r="D44" s="24">
        <f>'03_衍生指标'!K43</f>
        <v/>
      </c>
      <c r="E44" s="24">
        <f>'03_衍生指标'!L43</f>
        <v/>
      </c>
      <c r="F44" s="24">
        <f>'03_衍生指标'!M43</f>
        <v/>
      </c>
      <c r="G44" s="24">
        <f>IF(A44="","",C44*'01_动态参数'!B4+D44*'01_动态参数'!B5+E44*'01_动态参数'!B6+F44*'01_动态参数'!B7)</f>
        <v/>
      </c>
      <c r="H44" s="22">
        <f>IF(A44="","",IF(OR('03_衍生指标'!F43=1,'03_衍生指标'!G43=0,'03_衍生指标'!E43=0,AND('03_衍生指标'!H43=1,'01_动态参数'!B16=1)),"否决","通过"))</f>
        <v/>
      </c>
      <c r="I44" s="22">
        <f>IF(A44="","",IF(H44="否决","淘汰",IF(G44&gt;=8,"S",IF(G44&gt;=7,"A",IF(G44&gt;=6,"B",IF(G44&gt;=5,"C","淘汰"))))))</f>
        <v/>
      </c>
      <c r="J44" s="22">
        <f>IF(A44="","",IF(H44="否决","触发否决："&amp;IF('03_衍生指标'!F43=1,"评分数超限 ","")&amp;IF('03_衍生指标'!G43=0,"增长率不达标 ","")&amp;IF('03_衍生指标'!E43=0,"毛利率不足 ","")&amp;IF(AND('03_衍生指标'!H43=1,'01_动态参数'!B16=1),"自营不接受",""),"推荐：竞争/增长/利润/门槛综合达标"))</f>
        <v/>
      </c>
      <c r="K44" s="22">
        <f>'02_ASIN原始数据'!C43</f>
        <v/>
      </c>
      <c r="L44" s="22">
        <f>'02_ASIN原始数据'!D43</f>
        <v/>
      </c>
    </row>
    <row r="45">
      <c r="A45" s="22">
        <f>'03_衍生指标'!A44</f>
        <v/>
      </c>
      <c r="B45" s="22">
        <f>'02_ASIN原始数据'!B44</f>
        <v/>
      </c>
      <c r="C45" s="24">
        <f>'03_衍生指标'!J44</f>
        <v/>
      </c>
      <c r="D45" s="24">
        <f>'03_衍生指标'!K44</f>
        <v/>
      </c>
      <c r="E45" s="24">
        <f>'03_衍生指标'!L44</f>
        <v/>
      </c>
      <c r="F45" s="24">
        <f>'03_衍生指标'!M44</f>
        <v/>
      </c>
      <c r="G45" s="24">
        <f>IF(A45="","",C45*'01_动态参数'!B4+D45*'01_动态参数'!B5+E45*'01_动态参数'!B6+F45*'01_动态参数'!B7)</f>
        <v/>
      </c>
      <c r="H45" s="22">
        <f>IF(A45="","",IF(OR('03_衍生指标'!F44=1,'03_衍生指标'!G44=0,'03_衍生指标'!E44=0,AND('03_衍生指标'!H44=1,'01_动态参数'!B16=1)),"否决","通过"))</f>
        <v/>
      </c>
      <c r="I45" s="22">
        <f>IF(A45="","",IF(H45="否决","淘汰",IF(G45&gt;=8,"S",IF(G45&gt;=7,"A",IF(G45&gt;=6,"B",IF(G45&gt;=5,"C","淘汰"))))))</f>
        <v/>
      </c>
      <c r="J45" s="22">
        <f>IF(A45="","",IF(H45="否决","触发否决："&amp;IF('03_衍生指标'!F44=1,"评分数超限 ","")&amp;IF('03_衍生指标'!G44=0,"增长率不达标 ","")&amp;IF('03_衍生指标'!E44=0,"毛利率不足 ","")&amp;IF(AND('03_衍生指标'!H44=1,'01_动态参数'!B16=1),"自营不接受",""),"推荐：竞争/增长/利润/门槛综合达标"))</f>
        <v/>
      </c>
      <c r="K45" s="22">
        <f>'02_ASIN原始数据'!C44</f>
        <v/>
      </c>
      <c r="L45" s="22">
        <f>'02_ASIN原始数据'!D44</f>
        <v/>
      </c>
    </row>
    <row r="46">
      <c r="A46" s="22">
        <f>'03_衍生指标'!A45</f>
        <v/>
      </c>
      <c r="B46" s="22">
        <f>'02_ASIN原始数据'!B45</f>
        <v/>
      </c>
      <c r="C46" s="24">
        <f>'03_衍生指标'!J45</f>
        <v/>
      </c>
      <c r="D46" s="24">
        <f>'03_衍生指标'!K45</f>
        <v/>
      </c>
      <c r="E46" s="24">
        <f>'03_衍生指标'!L45</f>
        <v/>
      </c>
      <c r="F46" s="24">
        <f>'03_衍生指标'!M45</f>
        <v/>
      </c>
      <c r="G46" s="24">
        <f>IF(A46="","",C46*'01_动态参数'!B4+D46*'01_动态参数'!B5+E46*'01_动态参数'!B6+F46*'01_动态参数'!B7)</f>
        <v/>
      </c>
      <c r="H46" s="22">
        <f>IF(A46="","",IF(OR('03_衍生指标'!F45=1,'03_衍生指标'!G45=0,'03_衍生指标'!E45=0,AND('03_衍生指标'!H45=1,'01_动态参数'!B16=1)),"否决","通过"))</f>
        <v/>
      </c>
      <c r="I46" s="22">
        <f>IF(A46="","",IF(H46="否决","淘汰",IF(G46&gt;=8,"S",IF(G46&gt;=7,"A",IF(G46&gt;=6,"B",IF(G46&gt;=5,"C","淘汰"))))))</f>
        <v/>
      </c>
      <c r="J46" s="22">
        <f>IF(A46="","",IF(H46="否决","触发否决："&amp;IF('03_衍生指标'!F45=1,"评分数超限 ","")&amp;IF('03_衍生指标'!G45=0,"增长率不达标 ","")&amp;IF('03_衍生指标'!E45=0,"毛利率不足 ","")&amp;IF(AND('03_衍生指标'!H45=1,'01_动态参数'!B16=1),"自营不接受",""),"推荐：竞争/增长/利润/门槛综合达标"))</f>
        <v/>
      </c>
      <c r="K46" s="22">
        <f>'02_ASIN原始数据'!C45</f>
        <v/>
      </c>
      <c r="L46" s="22">
        <f>'02_ASIN原始数据'!D45</f>
        <v/>
      </c>
    </row>
    <row r="47">
      <c r="A47" s="22">
        <f>'03_衍生指标'!A46</f>
        <v/>
      </c>
      <c r="B47" s="22">
        <f>'02_ASIN原始数据'!B46</f>
        <v/>
      </c>
      <c r="C47" s="24">
        <f>'03_衍生指标'!J46</f>
        <v/>
      </c>
      <c r="D47" s="24">
        <f>'03_衍生指标'!K46</f>
        <v/>
      </c>
      <c r="E47" s="24">
        <f>'03_衍生指标'!L46</f>
        <v/>
      </c>
      <c r="F47" s="24">
        <f>'03_衍生指标'!M46</f>
        <v/>
      </c>
      <c r="G47" s="24">
        <f>IF(A47="","",C47*'01_动态参数'!B4+D47*'01_动态参数'!B5+E47*'01_动态参数'!B6+F47*'01_动态参数'!B7)</f>
        <v/>
      </c>
      <c r="H47" s="22">
        <f>IF(A47="","",IF(OR('03_衍生指标'!F46=1,'03_衍生指标'!G46=0,'03_衍生指标'!E46=0,AND('03_衍生指标'!H46=1,'01_动态参数'!B16=1)),"否决","通过"))</f>
        <v/>
      </c>
      <c r="I47" s="22">
        <f>IF(A47="","",IF(H47="否决","淘汰",IF(G47&gt;=8,"S",IF(G47&gt;=7,"A",IF(G47&gt;=6,"B",IF(G47&gt;=5,"C","淘汰"))))))</f>
        <v/>
      </c>
      <c r="J47" s="22">
        <f>IF(A47="","",IF(H47="否决","触发否决："&amp;IF('03_衍生指标'!F46=1,"评分数超限 ","")&amp;IF('03_衍生指标'!G46=0,"增长率不达标 ","")&amp;IF('03_衍生指标'!E46=0,"毛利率不足 ","")&amp;IF(AND('03_衍生指标'!H46=1,'01_动态参数'!B16=1),"自营不接受",""),"推荐：竞争/增长/利润/门槛综合达标"))</f>
        <v/>
      </c>
      <c r="K47" s="22">
        <f>'02_ASIN原始数据'!C46</f>
        <v/>
      </c>
      <c r="L47" s="22">
        <f>'02_ASIN原始数据'!D46</f>
        <v/>
      </c>
    </row>
    <row r="48">
      <c r="A48" s="22">
        <f>'03_衍生指标'!A47</f>
        <v/>
      </c>
      <c r="B48" s="22">
        <f>'02_ASIN原始数据'!B47</f>
        <v/>
      </c>
      <c r="C48" s="24">
        <f>'03_衍生指标'!J47</f>
        <v/>
      </c>
      <c r="D48" s="24">
        <f>'03_衍生指标'!K47</f>
        <v/>
      </c>
      <c r="E48" s="24">
        <f>'03_衍生指标'!L47</f>
        <v/>
      </c>
      <c r="F48" s="24">
        <f>'03_衍生指标'!M47</f>
        <v/>
      </c>
      <c r="G48" s="24">
        <f>IF(A48="","",C48*'01_动态参数'!B4+D48*'01_动态参数'!B5+E48*'01_动态参数'!B6+F48*'01_动态参数'!B7)</f>
        <v/>
      </c>
      <c r="H48" s="22">
        <f>IF(A48="","",IF(OR('03_衍生指标'!F47=1,'03_衍生指标'!G47=0,'03_衍生指标'!E47=0,AND('03_衍生指标'!H47=1,'01_动态参数'!B16=1)),"否决","通过"))</f>
        <v/>
      </c>
      <c r="I48" s="22">
        <f>IF(A48="","",IF(H48="否决","淘汰",IF(G48&gt;=8,"S",IF(G48&gt;=7,"A",IF(G48&gt;=6,"B",IF(G48&gt;=5,"C","淘汰"))))))</f>
        <v/>
      </c>
      <c r="J48" s="22">
        <f>IF(A48="","",IF(H48="否决","触发否决："&amp;IF('03_衍生指标'!F47=1,"评分数超限 ","")&amp;IF('03_衍生指标'!G47=0,"增长率不达标 ","")&amp;IF('03_衍生指标'!E47=0,"毛利率不足 ","")&amp;IF(AND('03_衍生指标'!H47=1,'01_动态参数'!B16=1),"自营不接受",""),"推荐：竞争/增长/利润/门槛综合达标"))</f>
        <v/>
      </c>
      <c r="K48" s="22">
        <f>'02_ASIN原始数据'!C47</f>
        <v/>
      </c>
      <c r="L48" s="22">
        <f>'02_ASIN原始数据'!D47</f>
        <v/>
      </c>
    </row>
    <row r="49">
      <c r="A49" s="22">
        <f>'03_衍生指标'!A48</f>
        <v/>
      </c>
      <c r="B49" s="22">
        <f>'02_ASIN原始数据'!B48</f>
        <v/>
      </c>
      <c r="C49" s="24">
        <f>'03_衍生指标'!J48</f>
        <v/>
      </c>
      <c r="D49" s="24">
        <f>'03_衍生指标'!K48</f>
        <v/>
      </c>
      <c r="E49" s="24">
        <f>'03_衍生指标'!L48</f>
        <v/>
      </c>
      <c r="F49" s="24">
        <f>'03_衍生指标'!M48</f>
        <v/>
      </c>
      <c r="G49" s="24">
        <f>IF(A49="","",C49*'01_动态参数'!B4+D49*'01_动态参数'!B5+E49*'01_动态参数'!B6+F49*'01_动态参数'!B7)</f>
        <v/>
      </c>
      <c r="H49" s="22">
        <f>IF(A49="","",IF(OR('03_衍生指标'!F48=1,'03_衍生指标'!G48=0,'03_衍生指标'!E48=0,AND('03_衍生指标'!H48=1,'01_动态参数'!B16=1)),"否决","通过"))</f>
        <v/>
      </c>
      <c r="I49" s="22">
        <f>IF(A49="","",IF(H49="否决","淘汰",IF(G49&gt;=8,"S",IF(G49&gt;=7,"A",IF(G49&gt;=6,"B",IF(G49&gt;=5,"C","淘汰"))))))</f>
        <v/>
      </c>
      <c r="J49" s="22">
        <f>IF(A49="","",IF(H49="否决","触发否决："&amp;IF('03_衍生指标'!F48=1,"评分数超限 ","")&amp;IF('03_衍生指标'!G48=0,"增长率不达标 ","")&amp;IF('03_衍生指标'!E48=0,"毛利率不足 ","")&amp;IF(AND('03_衍生指标'!H48=1,'01_动态参数'!B16=1),"自营不接受",""),"推荐：竞争/增长/利润/门槛综合达标"))</f>
        <v/>
      </c>
      <c r="K49" s="22">
        <f>'02_ASIN原始数据'!C48</f>
        <v/>
      </c>
      <c r="L49" s="22">
        <f>'02_ASIN原始数据'!D48</f>
        <v/>
      </c>
    </row>
    <row r="50">
      <c r="A50" s="22">
        <f>'03_衍生指标'!A49</f>
        <v/>
      </c>
      <c r="B50" s="22">
        <f>'02_ASIN原始数据'!B49</f>
        <v/>
      </c>
      <c r="C50" s="24">
        <f>'03_衍生指标'!J49</f>
        <v/>
      </c>
      <c r="D50" s="24">
        <f>'03_衍生指标'!K49</f>
        <v/>
      </c>
      <c r="E50" s="24">
        <f>'03_衍生指标'!L49</f>
        <v/>
      </c>
      <c r="F50" s="24">
        <f>'03_衍生指标'!M49</f>
        <v/>
      </c>
      <c r="G50" s="24">
        <f>IF(A50="","",C50*'01_动态参数'!B4+D50*'01_动态参数'!B5+E50*'01_动态参数'!B6+F50*'01_动态参数'!B7)</f>
        <v/>
      </c>
      <c r="H50" s="22">
        <f>IF(A50="","",IF(OR('03_衍生指标'!F49=1,'03_衍生指标'!G49=0,'03_衍生指标'!E49=0,AND('03_衍生指标'!H49=1,'01_动态参数'!B16=1)),"否决","通过"))</f>
        <v/>
      </c>
      <c r="I50" s="22">
        <f>IF(A50="","",IF(H50="否决","淘汰",IF(G50&gt;=8,"S",IF(G50&gt;=7,"A",IF(G50&gt;=6,"B",IF(G50&gt;=5,"C","淘汰"))))))</f>
        <v/>
      </c>
      <c r="J50" s="22">
        <f>IF(A50="","",IF(H50="否决","触发否决："&amp;IF('03_衍生指标'!F49=1,"评分数超限 ","")&amp;IF('03_衍生指标'!G49=0,"增长率不达标 ","")&amp;IF('03_衍生指标'!E49=0,"毛利率不足 ","")&amp;IF(AND('03_衍生指标'!H49=1,'01_动态参数'!B16=1),"自营不接受",""),"推荐：竞争/增长/利润/门槛综合达标"))</f>
        <v/>
      </c>
      <c r="K50" s="22">
        <f>'02_ASIN原始数据'!C49</f>
        <v/>
      </c>
      <c r="L50" s="22">
        <f>'02_ASIN原始数据'!D49</f>
        <v/>
      </c>
    </row>
    <row r="51">
      <c r="A51" s="22">
        <f>'03_衍生指标'!A50</f>
        <v/>
      </c>
      <c r="B51" s="22">
        <f>'02_ASIN原始数据'!B50</f>
        <v/>
      </c>
      <c r="C51" s="24">
        <f>'03_衍生指标'!J50</f>
        <v/>
      </c>
      <c r="D51" s="24">
        <f>'03_衍生指标'!K50</f>
        <v/>
      </c>
      <c r="E51" s="24">
        <f>'03_衍生指标'!L50</f>
        <v/>
      </c>
      <c r="F51" s="24">
        <f>'03_衍生指标'!M50</f>
        <v/>
      </c>
      <c r="G51" s="24">
        <f>IF(A51="","",C51*'01_动态参数'!B4+D51*'01_动态参数'!B5+E51*'01_动态参数'!B6+F51*'01_动态参数'!B7)</f>
        <v/>
      </c>
      <c r="H51" s="22">
        <f>IF(A51="","",IF(OR('03_衍生指标'!F50=1,'03_衍生指标'!G50=0,'03_衍生指标'!E50=0,AND('03_衍生指标'!H50=1,'01_动态参数'!B16=1)),"否决","通过"))</f>
        <v/>
      </c>
      <c r="I51" s="22">
        <f>IF(A51="","",IF(H51="否决","淘汰",IF(G51&gt;=8,"S",IF(G51&gt;=7,"A",IF(G51&gt;=6,"B",IF(G51&gt;=5,"C","淘汰"))))))</f>
        <v/>
      </c>
      <c r="J51" s="22">
        <f>IF(A51="","",IF(H51="否决","触发否决："&amp;IF('03_衍生指标'!F50=1,"评分数超限 ","")&amp;IF('03_衍生指标'!G50=0,"增长率不达标 ","")&amp;IF('03_衍生指标'!E50=0,"毛利率不足 ","")&amp;IF(AND('03_衍生指标'!H50=1,'01_动态参数'!B16=1),"自营不接受",""),"推荐：竞争/增长/利润/门槛综合达标"))</f>
        <v/>
      </c>
      <c r="K51" s="22">
        <f>'02_ASIN原始数据'!C50</f>
        <v/>
      </c>
      <c r="L51" s="22">
        <f>'02_ASIN原始数据'!D50</f>
        <v/>
      </c>
    </row>
    <row r="52">
      <c r="A52" s="22">
        <f>'03_衍生指标'!A51</f>
        <v/>
      </c>
      <c r="B52" s="22">
        <f>'02_ASIN原始数据'!B51</f>
        <v/>
      </c>
      <c r="C52" s="24">
        <f>'03_衍生指标'!J51</f>
        <v/>
      </c>
      <c r="D52" s="24">
        <f>'03_衍生指标'!K51</f>
        <v/>
      </c>
      <c r="E52" s="24">
        <f>'03_衍生指标'!L51</f>
        <v/>
      </c>
      <c r="F52" s="24">
        <f>'03_衍生指标'!M51</f>
        <v/>
      </c>
      <c r="G52" s="24">
        <f>IF(A52="","",C52*'01_动态参数'!B4+D52*'01_动态参数'!B5+E52*'01_动态参数'!B6+F52*'01_动态参数'!B7)</f>
        <v/>
      </c>
      <c r="H52" s="22">
        <f>IF(A52="","",IF(OR('03_衍生指标'!F51=1,'03_衍生指标'!G51=0,'03_衍生指标'!E51=0,AND('03_衍生指标'!H51=1,'01_动态参数'!B16=1)),"否决","通过"))</f>
        <v/>
      </c>
      <c r="I52" s="22">
        <f>IF(A52="","",IF(H52="否决","淘汰",IF(G52&gt;=8,"S",IF(G52&gt;=7,"A",IF(G52&gt;=6,"B",IF(G52&gt;=5,"C","淘汰"))))))</f>
        <v/>
      </c>
      <c r="J52" s="22">
        <f>IF(A52="","",IF(H52="否决","触发否决："&amp;IF('03_衍生指标'!F51=1,"评分数超限 ","")&amp;IF('03_衍生指标'!G51=0,"增长率不达标 ","")&amp;IF('03_衍生指标'!E51=0,"毛利率不足 ","")&amp;IF(AND('03_衍生指标'!H51=1,'01_动态参数'!B16=1),"自营不接受",""),"推荐：竞争/增长/利润/门槛综合达标"))</f>
        <v/>
      </c>
      <c r="K52" s="22">
        <f>'02_ASIN原始数据'!C51</f>
        <v/>
      </c>
      <c r="L52" s="22">
        <f>'02_ASIN原始数据'!D51</f>
        <v/>
      </c>
    </row>
    <row r="53">
      <c r="A53" s="22">
        <f>'03_衍生指标'!A52</f>
        <v/>
      </c>
      <c r="B53" s="22">
        <f>'02_ASIN原始数据'!B52</f>
        <v/>
      </c>
      <c r="C53" s="24">
        <f>'03_衍生指标'!J52</f>
        <v/>
      </c>
      <c r="D53" s="24">
        <f>'03_衍生指标'!K52</f>
        <v/>
      </c>
      <c r="E53" s="24">
        <f>'03_衍生指标'!L52</f>
        <v/>
      </c>
      <c r="F53" s="24">
        <f>'03_衍生指标'!M52</f>
        <v/>
      </c>
      <c r="G53" s="24">
        <f>IF(A53="","",C53*'01_动态参数'!B4+D53*'01_动态参数'!B5+E53*'01_动态参数'!B6+F53*'01_动态参数'!B7)</f>
        <v/>
      </c>
      <c r="H53" s="22">
        <f>IF(A53="","",IF(OR('03_衍生指标'!F52=1,'03_衍生指标'!G52=0,'03_衍生指标'!E52=0,AND('03_衍生指标'!H52=1,'01_动态参数'!B16=1)),"否决","通过"))</f>
        <v/>
      </c>
      <c r="I53" s="22">
        <f>IF(A53="","",IF(H53="否决","淘汰",IF(G53&gt;=8,"S",IF(G53&gt;=7,"A",IF(G53&gt;=6,"B",IF(G53&gt;=5,"C","淘汰"))))))</f>
        <v/>
      </c>
      <c r="J53" s="22">
        <f>IF(A53="","",IF(H53="否决","触发否决："&amp;IF('03_衍生指标'!F52=1,"评分数超限 ","")&amp;IF('03_衍生指标'!G52=0,"增长率不达标 ","")&amp;IF('03_衍生指标'!E52=0,"毛利率不足 ","")&amp;IF(AND('03_衍生指标'!H52=1,'01_动态参数'!B16=1),"自营不接受",""),"推荐：竞争/增长/利润/门槛综合达标"))</f>
        <v/>
      </c>
      <c r="K53" s="22">
        <f>'02_ASIN原始数据'!C52</f>
        <v/>
      </c>
      <c r="L53" s="22">
        <f>'02_ASIN原始数据'!D52</f>
        <v/>
      </c>
    </row>
  </sheetData>
  <mergeCells count="2">
    <mergeCell ref="A2:L2"/>
    <mergeCell ref="A1:L1"/>
  </mergeCells>
  <conditionalFormatting sqref="H4:H53">
    <cfRule type="cellIs" priority="1" operator="equal" dxfId="2">
      <formula>"否决"</formula>
    </cfRule>
  </conditionalFormatting>
  <conditionalFormatting sqref="I4:I53">
    <cfRule type="cellIs" priority="2" operator="equal" dxfId="3">
      <formula>"S"</formula>
    </cfRule>
    <cfRule type="cellIs" priority="3" operator="equal" dxfId="4">
      <formula>"A"</formula>
    </cfRule>
    <cfRule type="cellIs" priority="4" operator="equal" dxfId="5">
      <formula>"淘汰"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0" customWidth="1" min="9" max="9"/>
  </cols>
  <sheetData>
    <row r="1">
      <c r="A1" s="3" t="inlineStr">
        <is>
          <t>推荐清单（仅显示「通过」且总分≥6 的 ASIN，按总分降序。使用 FILTER 动态数组，需 Excel 365/2021+）</t>
        </is>
      </c>
    </row>
    <row r="3">
      <c r="A3" s="8" t="inlineStr">
        <is>
          <t>说明：如果您的 Excel 版本不支持 FILTER 动态数组，请手动到「04_最终评分」按「一票否决=通过」和「加权总分≥6」筛选，再按总分降序排序。</t>
        </is>
      </c>
    </row>
    <row r="5">
      <c r="A5" s="20" t="inlineStr">
        <is>
          <t>asin</t>
        </is>
      </c>
      <c r="B5" s="20" t="inlineStr">
        <is>
          <t>title</t>
        </is>
      </c>
      <c r="C5" s="20" t="inlineStr">
        <is>
          <t>加权总分</t>
        </is>
      </c>
      <c r="D5" s="20" t="inlineStr">
        <is>
          <t>推荐等级</t>
        </is>
      </c>
      <c r="E5" s="20" t="inlineStr">
        <is>
          <t>低竞争</t>
        </is>
      </c>
      <c r="F5" s="20" t="inlineStr">
        <is>
          <t>生命周期</t>
        </is>
      </c>
      <c r="G5" s="20" t="inlineStr">
        <is>
          <t>利润健康</t>
        </is>
      </c>
      <c r="H5" s="20" t="inlineStr">
        <is>
          <t>准入门槛</t>
        </is>
      </c>
      <c r="I5" s="20" t="inlineStr">
        <is>
          <t>自动理由</t>
        </is>
      </c>
      <c r="J5" s="20" t="inlineStr">
        <is>
          <t>brand</t>
        </is>
      </c>
      <c r="K5" s="20" t="inlineStr">
        <is>
          <t>price</t>
        </is>
      </c>
    </row>
    <row r="6">
      <c r="A6" s="25">
        <f>IFERROR(FILTER('04_最终评分'!A4:L53,('04_最终评分'!H4:H53="通过")*('04_最终评分'!G4:G53&gt;=6),"无符合条件的产品（请检查期望配置或数据）"),"无符合条件的产品")</f>
        <v/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2026-08-03T10:53:00Z</dcterms:created>
  <dcterms:modified xmlns:dcterms="http://purl.org/dc/terms/" xmlns:xsi="http://www.w3.org/2001/XMLSchema-instance" xsi:type="dcterms:W3CDTF">2026-08-03T10:53:17Z</dcterms:modified>
</cp:coreProperties>
</file>